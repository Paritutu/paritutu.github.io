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uis - Copy\"/>
    </mc:Choice>
  </mc:AlternateContent>
  <xr:revisionPtr revIDLastSave="0" documentId="13_ncr:1_{EB2328C4-B8A7-460D-BDAD-6E464BBEB165}" xr6:coauthVersionLast="47" xr6:coauthVersionMax="47" xr10:uidLastSave="{00000000-0000-0000-0000-000000000000}"/>
  <bookViews>
    <workbookView xWindow="-120" yWindow="-120" windowWidth="29040" windowHeight="15720" xr2:uid="{F4205084-BF60-4333-ADB9-0FCEB517A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1" l="1"/>
  <c r="S13" i="1"/>
  <c r="R13" i="1"/>
  <c r="Q13" i="1"/>
  <c r="S17" i="1"/>
  <c r="R17" i="1"/>
  <c r="Q17" i="1"/>
  <c r="S18" i="1"/>
  <c r="S35" i="1" s="1"/>
  <c r="R18" i="1"/>
  <c r="R36" i="1" s="1"/>
  <c r="Q18" i="1"/>
  <c r="P25" i="1"/>
  <c r="O25" i="1"/>
  <c r="N25" i="1"/>
  <c r="V36" i="1"/>
  <c r="U36" i="1"/>
  <c r="T36" i="1"/>
  <c r="Q36" i="1"/>
  <c r="P36" i="1"/>
  <c r="O36" i="1"/>
  <c r="N36" i="1"/>
  <c r="M36" i="1"/>
  <c r="L36" i="1"/>
  <c r="V35" i="1"/>
  <c r="U35" i="1"/>
  <c r="Q35" i="1"/>
  <c r="P35" i="1"/>
  <c r="O35" i="1"/>
  <c r="N35" i="1"/>
  <c r="M35" i="1"/>
  <c r="L35" i="1"/>
  <c r="K36" i="1"/>
  <c r="K35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M9" i="1"/>
  <c r="L9" i="1"/>
  <c r="K9" i="1"/>
  <c r="M8" i="1"/>
  <c r="L8" i="1"/>
  <c r="K8" i="1"/>
  <c r="M15" i="1"/>
  <c r="L15" i="1"/>
  <c r="K15" i="1"/>
  <c r="M14" i="1"/>
  <c r="L14" i="1"/>
  <c r="K14" i="1"/>
  <c r="M19" i="1"/>
  <c r="L19" i="1"/>
  <c r="K19" i="1"/>
  <c r="M23" i="1"/>
  <c r="L23" i="1"/>
  <c r="K23" i="1"/>
  <c r="P24" i="1"/>
  <c r="O24" i="1"/>
  <c r="N24" i="1"/>
  <c r="P16" i="1"/>
  <c r="O16" i="1"/>
  <c r="N16" i="1"/>
  <c r="P12" i="1"/>
  <c r="O12" i="1"/>
  <c r="N12" i="1"/>
  <c r="P10" i="1"/>
  <c r="O10" i="1"/>
  <c r="N10" i="1"/>
  <c r="P6" i="1"/>
  <c r="O6" i="1"/>
  <c r="N6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Z67" i="1"/>
  <c r="Y67" i="1"/>
  <c r="Z66" i="1"/>
  <c r="Y66" i="1"/>
  <c r="X67" i="1"/>
  <c r="X66" i="1"/>
  <c r="S36" i="1" l="1"/>
  <c r="R35" i="1"/>
</calcChain>
</file>

<file path=xl/sharedStrings.xml><?xml version="1.0" encoding="utf-8"?>
<sst xmlns="http://schemas.openxmlformats.org/spreadsheetml/2006/main" count="165" uniqueCount="78">
  <si>
    <t>HxCDD</t>
  </si>
  <si>
    <t>HpCDD</t>
  </si>
  <si>
    <t>OCDD</t>
  </si>
  <si>
    <t>ID No.</t>
  </si>
  <si>
    <t>Phase</t>
  </si>
  <si>
    <t>Yrs resident</t>
  </si>
  <si>
    <t>1938-2003</t>
  </si>
  <si>
    <t>1952-1974</t>
  </si>
  <si>
    <t>1952-2003</t>
  </si>
  <si>
    <t>1953-2002</t>
  </si>
  <si>
    <t>1954-1975</t>
  </si>
  <si>
    <t>1954-2003</t>
  </si>
  <si>
    <t>1960-1996</t>
  </si>
  <si>
    <t>1960-2003</t>
  </si>
  <si>
    <t>1965-1972</t>
  </si>
  <si>
    <t>1965-2003</t>
  </si>
  <si>
    <t>1966-1990</t>
  </si>
  <si>
    <t>1970-1973</t>
  </si>
  <si>
    <t>1966-68</t>
  </si>
  <si>
    <t>1967-1974</t>
  </si>
  <si>
    <t>1967-1986</t>
  </si>
  <si>
    <t>1967-2003</t>
  </si>
  <si>
    <t>1968-1974</t>
  </si>
  <si>
    <t>1968-1981</t>
  </si>
  <si>
    <t>1968-1990</t>
  </si>
  <si>
    <t>1970-1975</t>
  </si>
  <si>
    <t>1971-1977</t>
  </si>
  <si>
    <t>% Exposed produce</t>
  </si>
  <si>
    <t>% protected produce</t>
  </si>
  <si>
    <t>% root Vegies</t>
  </si>
  <si>
    <t>% poultry</t>
  </si>
  <si>
    <t>Consumed local fish/shellfish?</t>
  </si>
  <si>
    <t>yes</t>
  </si>
  <si>
    <t>yesyes</t>
  </si>
  <si>
    <t>no</t>
  </si>
  <si>
    <t>unsure</t>
  </si>
  <si>
    <t>RNZ</t>
  </si>
  <si>
    <t>page 3</t>
  </si>
  <si>
    <t>1973-1980</t>
  </si>
  <si>
    <t>1973-1981</t>
  </si>
  <si>
    <t>1973-1993</t>
  </si>
  <si>
    <t>1974-1990</t>
  </si>
  <si>
    <t>page 1</t>
  </si>
  <si>
    <t>1974-1991</t>
  </si>
  <si>
    <t>1975-1988</t>
  </si>
  <si>
    <t>1975-1990</t>
  </si>
  <si>
    <t>1975-1992</t>
  </si>
  <si>
    <t>1976-1989</t>
  </si>
  <si>
    <t>1976-2003</t>
  </si>
  <si>
    <t>1977-1985</t>
  </si>
  <si>
    <t>1977-2003</t>
  </si>
  <si>
    <t>1978-1988</t>
  </si>
  <si>
    <t>1979-1989</t>
  </si>
  <si>
    <t>1979-2003</t>
  </si>
  <si>
    <t>1980-1990</t>
  </si>
  <si>
    <t>1980-2003</t>
  </si>
  <si>
    <t>1981-1987</t>
  </si>
  <si>
    <t>1981-1988</t>
  </si>
  <si>
    <t>1984-1988</t>
  </si>
  <si>
    <t>1984-1990</t>
  </si>
  <si>
    <t>1984-1995</t>
  </si>
  <si>
    <t>1961-63</t>
  </si>
  <si>
    <t>farm 1963&gt;</t>
  </si>
  <si>
    <t>Age 15+</t>
  </si>
  <si>
    <t>Green age excl</t>
  </si>
  <si>
    <t>1960 in ESR Questionairre</t>
  </si>
  <si>
    <t>1966-68 Ngamotu Bch Coolstores end</t>
  </si>
  <si>
    <t>40 Marama not in 19.1.1969 aerial photo</t>
  </si>
  <si>
    <t>Outlier poss PCP exposures not quesioned in ESR?</t>
  </si>
  <si>
    <t>IWD M (n141)</t>
  </si>
  <si>
    <t>IWD F (n43)</t>
  </si>
  <si>
    <t>IWD M (n60)</t>
  </si>
  <si>
    <t>NZFS (n39)</t>
  </si>
  <si>
    <t>post 1973</t>
  </si>
  <si>
    <t>Poultry</t>
  </si>
  <si>
    <t>Fish</t>
  </si>
  <si>
    <t>Nil</t>
  </si>
  <si>
    <t>1968-71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</si>
</sst>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2"/>
      <color rgb="FFFF0000"/>
      <name val="Times New Roman"/>
      <family val="1"/>
    </font>
    <font>
      <sz val="11"/>
      <color rgb="FFFF0000"/>
      <name val="Aptos Narrow"/>
      <family val="2"/>
      <scheme val="minor"/>
    </font>
    <font>
      <sz val="9"/>
      <name val="Times New Roman"/>
      <family val="1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17" fontId="0" fillId="0" borderId="0" xfId="0" applyNumberFormat="1"/>
    <xf numFmtId="0" fontId="1" fillId="0" borderId="0" xfId="0" applyFont="1"/>
    <xf numFmtId="14" fontId="0" fillId="0" borderId="0" xfId="0" applyNumberFormat="1"/>
    <xf numFmtId="164" fontId="3" fillId="0" borderId="0" xfId="0" applyNumberFormat="1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190500</xdr:colOff>
      <xdr:row>68</xdr:row>
      <xdr:rowOff>136525</xdr:rowOff>
    </xdr:from>
    <xdr:to>
      <xdr:col>42</xdr:col>
      <xdr:colOff>409575</xdr:colOff>
      <xdr:row>84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00943-5E80-9C42-E4AF-B71810323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0" y="20888325"/>
          <a:ext cx="7534275" cy="282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E9C7-3E0F-4771-8900-4C6A48798823}">
  <dimension ref="I5:AW101"/>
  <sheetViews>
    <sheetView tabSelected="1" topLeftCell="A2" zoomScale="60" zoomScaleNormal="60" workbookViewId="0">
      <selection activeCell="AQ18" sqref="AQ18"/>
    </sheetView>
  </sheetViews>
  <sheetFormatPr defaultRowHeight="15" x14ac:dyDescent="0.25"/>
  <sheetData>
    <row r="5" spans="9:37" ht="63" x14ac:dyDescent="0.25">
      <c r="X5" t="s">
        <v>0</v>
      </c>
      <c r="Y5" t="s">
        <v>1</v>
      </c>
      <c r="Z5" t="s">
        <v>2</v>
      </c>
      <c r="AA5" s="1" t="s">
        <v>3</v>
      </c>
      <c r="AB5" s="1" t="s">
        <v>4</v>
      </c>
      <c r="AC5" s="1" t="s">
        <v>5</v>
      </c>
      <c r="AD5" s="13" t="s">
        <v>63</v>
      </c>
      <c r="AE5" s="13" t="s">
        <v>64</v>
      </c>
      <c r="AF5" s="1" t="s">
        <v>3</v>
      </c>
      <c r="AG5" s="1" t="s">
        <v>27</v>
      </c>
      <c r="AH5" s="1" t="s">
        <v>28</v>
      </c>
      <c r="AI5" s="1" t="s">
        <v>29</v>
      </c>
      <c r="AJ5" s="1" t="s">
        <v>30</v>
      </c>
      <c r="AK5" s="1" t="s">
        <v>31</v>
      </c>
    </row>
    <row r="6" spans="9:37" ht="15.75" x14ac:dyDescent="0.25">
      <c r="I6">
        <f>AJ6</f>
        <v>50</v>
      </c>
      <c r="J6" t="str">
        <f>AK6</f>
        <v>yes</v>
      </c>
      <c r="N6">
        <f>X6</f>
        <v>20.2</v>
      </c>
      <c r="O6">
        <f t="shared" ref="O6:P6" si="0">Y6</f>
        <v>63</v>
      </c>
      <c r="P6">
        <f t="shared" si="0"/>
        <v>364</v>
      </c>
      <c r="X6">
        <v>20.2</v>
      </c>
      <c r="Y6">
        <v>63</v>
      </c>
      <c r="Z6">
        <v>364</v>
      </c>
      <c r="AA6" s="2">
        <v>1145</v>
      </c>
      <c r="AB6" s="3">
        <v>2</v>
      </c>
      <c r="AC6" s="16" t="s">
        <v>6</v>
      </c>
      <c r="AF6" s="2">
        <v>1145</v>
      </c>
      <c r="AG6">
        <v>11.1</v>
      </c>
      <c r="AH6">
        <v>0</v>
      </c>
      <c r="AI6">
        <v>22.2</v>
      </c>
      <c r="AJ6">
        <v>50</v>
      </c>
      <c r="AK6" t="s">
        <v>32</v>
      </c>
    </row>
    <row r="7" spans="9:37" ht="15.75" x14ac:dyDescent="0.25">
      <c r="I7">
        <f t="shared" ref="I7:I33" si="1">AJ7</f>
        <v>50</v>
      </c>
      <c r="J7" t="str">
        <f t="shared" ref="J7:J33" si="2">AK7</f>
        <v>yes</v>
      </c>
      <c r="AA7" s="4">
        <v>1728</v>
      </c>
      <c r="AB7" s="3">
        <v>2</v>
      </c>
      <c r="AC7" s="16" t="s">
        <v>7</v>
      </c>
      <c r="AF7" s="4">
        <v>1728</v>
      </c>
      <c r="AG7">
        <v>27.8</v>
      </c>
      <c r="AH7">
        <v>5.6</v>
      </c>
      <c r="AI7">
        <v>5.6</v>
      </c>
      <c r="AJ7">
        <v>50</v>
      </c>
      <c r="AK7" t="s">
        <v>32</v>
      </c>
    </row>
    <row r="8" spans="9:37" ht="15.75" x14ac:dyDescent="0.25">
      <c r="I8">
        <f t="shared" si="1"/>
        <v>0</v>
      </c>
      <c r="J8" t="str">
        <f t="shared" si="2"/>
        <v>yesyes</v>
      </c>
      <c r="K8">
        <f t="shared" ref="K8:K9" si="3">X8</f>
        <v>19.8</v>
      </c>
      <c r="L8">
        <f t="shared" ref="L8:L9" si="4">Y8</f>
        <v>73.7</v>
      </c>
      <c r="M8">
        <f t="shared" ref="M8:M9" si="5">Z8</f>
        <v>340</v>
      </c>
      <c r="X8">
        <v>19.8</v>
      </c>
      <c r="Y8">
        <v>73.7</v>
      </c>
      <c r="Z8">
        <v>340</v>
      </c>
      <c r="AA8" s="2">
        <v>1154</v>
      </c>
      <c r="AB8" s="3">
        <v>2</v>
      </c>
      <c r="AC8" s="16" t="s">
        <v>8</v>
      </c>
      <c r="AF8" s="2">
        <v>1154</v>
      </c>
      <c r="AG8">
        <v>22.2</v>
      </c>
      <c r="AH8">
        <v>16.7</v>
      </c>
      <c r="AI8">
        <v>22.2</v>
      </c>
      <c r="AJ8">
        <v>0</v>
      </c>
      <c r="AK8" t="s">
        <v>33</v>
      </c>
    </row>
    <row r="9" spans="9:37" ht="15.75" x14ac:dyDescent="0.25">
      <c r="I9">
        <f t="shared" si="1"/>
        <v>0</v>
      </c>
      <c r="J9" t="str">
        <f t="shared" si="2"/>
        <v>yesyes</v>
      </c>
      <c r="K9">
        <f t="shared" si="3"/>
        <v>35.9</v>
      </c>
      <c r="L9">
        <f t="shared" si="4"/>
        <v>128</v>
      </c>
      <c r="M9">
        <f t="shared" si="5"/>
        <v>1050</v>
      </c>
      <c r="X9">
        <v>35.9</v>
      </c>
      <c r="Y9">
        <v>128</v>
      </c>
      <c r="Z9">
        <v>1050</v>
      </c>
      <c r="AA9" s="2">
        <v>1155</v>
      </c>
      <c r="AB9" s="3">
        <v>2</v>
      </c>
      <c r="AC9" s="16" t="s">
        <v>8</v>
      </c>
      <c r="AF9" s="2">
        <v>1155</v>
      </c>
      <c r="AG9">
        <v>16.7</v>
      </c>
      <c r="AH9">
        <v>5.6</v>
      </c>
      <c r="AI9">
        <v>22.2</v>
      </c>
      <c r="AJ9">
        <v>0</v>
      </c>
      <c r="AK9" t="s">
        <v>33</v>
      </c>
    </row>
    <row r="10" spans="9:37" ht="15.75" x14ac:dyDescent="0.25">
      <c r="I10">
        <f t="shared" si="1"/>
        <v>25</v>
      </c>
      <c r="J10" t="str">
        <f t="shared" si="2"/>
        <v>yes</v>
      </c>
      <c r="N10">
        <f>X10</f>
        <v>20</v>
      </c>
      <c r="O10">
        <f t="shared" ref="O10" si="6">Y10</f>
        <v>30.4</v>
      </c>
      <c r="P10">
        <f t="shared" ref="P10" si="7">Z10</f>
        <v>221</v>
      </c>
      <c r="X10">
        <v>20</v>
      </c>
      <c r="Y10">
        <v>30.4</v>
      </c>
      <c r="Z10">
        <v>221</v>
      </c>
      <c r="AA10" s="2">
        <v>1360</v>
      </c>
      <c r="AB10" s="3">
        <v>3</v>
      </c>
      <c r="AC10" s="16" t="s">
        <v>9</v>
      </c>
      <c r="AF10" s="2">
        <v>1360</v>
      </c>
      <c r="AG10">
        <v>13.9</v>
      </c>
      <c r="AH10">
        <v>8.3000000000000007</v>
      </c>
      <c r="AI10">
        <v>22.2</v>
      </c>
      <c r="AJ10">
        <v>25</v>
      </c>
      <c r="AK10" t="s">
        <v>32</v>
      </c>
    </row>
    <row r="11" spans="9:37" ht="15.75" x14ac:dyDescent="0.25">
      <c r="I11">
        <f t="shared" si="1"/>
        <v>0</v>
      </c>
      <c r="J11" t="str">
        <f t="shared" si="2"/>
        <v>yes</v>
      </c>
      <c r="AA11" s="4">
        <v>1511</v>
      </c>
      <c r="AB11" s="3">
        <v>2</v>
      </c>
      <c r="AC11" s="16" t="s">
        <v>10</v>
      </c>
      <c r="AF11" s="4">
        <v>1511</v>
      </c>
      <c r="AG11">
        <v>22.2</v>
      </c>
      <c r="AH11">
        <v>5.6</v>
      </c>
      <c r="AI11">
        <v>11.1</v>
      </c>
      <c r="AJ11">
        <v>0</v>
      </c>
      <c r="AK11" t="s">
        <v>32</v>
      </c>
    </row>
    <row r="12" spans="9:37" ht="15.75" x14ac:dyDescent="0.25">
      <c r="I12">
        <f t="shared" si="1"/>
        <v>50</v>
      </c>
      <c r="J12" t="str">
        <f t="shared" si="2"/>
        <v>yes</v>
      </c>
      <c r="N12">
        <f>X12</f>
        <v>20.7</v>
      </c>
      <c r="O12">
        <f t="shared" ref="O12" si="8">Y12</f>
        <v>33.6</v>
      </c>
      <c r="P12">
        <f t="shared" ref="P12" si="9">Z12</f>
        <v>311</v>
      </c>
      <c r="X12">
        <v>20.7</v>
      </c>
      <c r="Y12">
        <v>33.6</v>
      </c>
      <c r="Z12">
        <v>311</v>
      </c>
      <c r="AA12" s="2">
        <v>1614</v>
      </c>
      <c r="AB12" s="3">
        <v>2</v>
      </c>
      <c r="AC12" s="16" t="s">
        <v>11</v>
      </c>
      <c r="AF12" s="2">
        <v>1614</v>
      </c>
      <c r="AG12">
        <v>27.8</v>
      </c>
      <c r="AH12">
        <v>5.6</v>
      </c>
      <c r="AI12">
        <v>11.1</v>
      </c>
      <c r="AJ12">
        <v>50</v>
      </c>
      <c r="AK12" t="s">
        <v>32</v>
      </c>
    </row>
    <row r="13" spans="9:37" ht="15.75" x14ac:dyDescent="0.25">
      <c r="I13">
        <f t="shared" si="1"/>
        <v>0</v>
      </c>
      <c r="J13" t="str">
        <f t="shared" si="2"/>
        <v>no</v>
      </c>
      <c r="Q13">
        <f>X13</f>
        <v>17</v>
      </c>
      <c r="R13">
        <f t="shared" ref="R13" si="10">Y13</f>
        <v>34.799999999999997</v>
      </c>
      <c r="S13">
        <f t="shared" ref="S13" si="11">Z13</f>
        <v>271</v>
      </c>
      <c r="X13">
        <v>17</v>
      </c>
      <c r="Y13">
        <v>34.799999999999997</v>
      </c>
      <c r="Z13">
        <v>271</v>
      </c>
      <c r="AA13" s="2">
        <v>1491</v>
      </c>
      <c r="AB13" s="3">
        <v>2</v>
      </c>
      <c r="AC13" s="16" t="s">
        <v>12</v>
      </c>
      <c r="AF13" s="2">
        <v>1491</v>
      </c>
      <c r="AG13">
        <v>22.2</v>
      </c>
      <c r="AH13">
        <v>11.1</v>
      </c>
      <c r="AI13">
        <v>11.1</v>
      </c>
      <c r="AJ13">
        <v>0</v>
      </c>
      <c r="AK13" t="s">
        <v>34</v>
      </c>
    </row>
    <row r="14" spans="9:37" ht="15.75" x14ac:dyDescent="0.25">
      <c r="I14">
        <f t="shared" si="1"/>
        <v>0</v>
      </c>
      <c r="J14" t="str">
        <f t="shared" si="2"/>
        <v>yes</v>
      </c>
      <c r="K14">
        <f t="shared" ref="K14:K15" si="12">X14</f>
        <v>33.5</v>
      </c>
      <c r="L14">
        <f t="shared" ref="L14:L15" si="13">Y14</f>
        <v>62.9</v>
      </c>
      <c r="M14">
        <f t="shared" ref="M14:M15" si="14">Z14</f>
        <v>415</v>
      </c>
      <c r="X14">
        <v>33.5</v>
      </c>
      <c r="Y14">
        <v>62.9</v>
      </c>
      <c r="Z14">
        <v>415</v>
      </c>
      <c r="AA14" s="2">
        <v>1136</v>
      </c>
      <c r="AB14" s="3">
        <v>2</v>
      </c>
      <c r="AC14" s="16" t="s">
        <v>13</v>
      </c>
      <c r="AF14" s="2">
        <v>1136</v>
      </c>
      <c r="AG14">
        <v>11.1</v>
      </c>
      <c r="AH14">
        <v>5.6</v>
      </c>
      <c r="AI14">
        <v>22.2</v>
      </c>
      <c r="AJ14">
        <v>0</v>
      </c>
      <c r="AK14" t="s">
        <v>32</v>
      </c>
    </row>
    <row r="15" spans="9:37" ht="15.75" x14ac:dyDescent="0.25">
      <c r="I15">
        <f t="shared" si="1"/>
        <v>0</v>
      </c>
      <c r="J15" t="str">
        <f t="shared" si="2"/>
        <v>yes</v>
      </c>
      <c r="K15">
        <f t="shared" si="12"/>
        <v>43.4</v>
      </c>
      <c r="L15">
        <f t="shared" si="13"/>
        <v>73.400000000000006</v>
      </c>
      <c r="M15">
        <f t="shared" si="14"/>
        <v>515</v>
      </c>
      <c r="X15">
        <v>43.4</v>
      </c>
      <c r="Y15">
        <v>73.400000000000006</v>
      </c>
      <c r="Z15">
        <v>515</v>
      </c>
      <c r="AA15" s="2">
        <v>1434</v>
      </c>
      <c r="AB15" s="3">
        <v>2</v>
      </c>
      <c r="AC15" s="16" t="s">
        <v>13</v>
      </c>
      <c r="AF15" s="2">
        <v>1434</v>
      </c>
      <c r="AG15">
        <v>22.2</v>
      </c>
      <c r="AH15">
        <v>16.7</v>
      </c>
      <c r="AI15">
        <v>11.1</v>
      </c>
      <c r="AJ15">
        <v>0</v>
      </c>
      <c r="AK15" t="s">
        <v>32</v>
      </c>
    </row>
    <row r="16" spans="9:37" ht="15.75" x14ac:dyDescent="0.25">
      <c r="I16">
        <f t="shared" si="1"/>
        <v>50</v>
      </c>
      <c r="J16" t="str">
        <f t="shared" si="2"/>
        <v>yes</v>
      </c>
      <c r="N16">
        <f>X16</f>
        <v>29.6</v>
      </c>
      <c r="O16">
        <f t="shared" ref="O16" si="15">Y16</f>
        <v>84.1</v>
      </c>
      <c r="P16">
        <f t="shared" ref="P16" si="16">Z16</f>
        <v>503</v>
      </c>
      <c r="X16">
        <v>29.6</v>
      </c>
      <c r="Y16">
        <v>84.1</v>
      </c>
      <c r="Z16">
        <v>503</v>
      </c>
      <c r="AA16" s="2">
        <v>1023</v>
      </c>
      <c r="AB16" s="3">
        <v>2</v>
      </c>
      <c r="AC16" s="16" t="s">
        <v>14</v>
      </c>
      <c r="AF16" s="2">
        <v>1023</v>
      </c>
      <c r="AG16">
        <v>0</v>
      </c>
      <c r="AH16">
        <v>0</v>
      </c>
      <c r="AI16">
        <v>0</v>
      </c>
      <c r="AJ16">
        <v>50</v>
      </c>
      <c r="AK16" t="s">
        <v>32</v>
      </c>
    </row>
    <row r="17" spans="9:38" ht="15.75" x14ac:dyDescent="0.25">
      <c r="I17">
        <f t="shared" si="1"/>
        <v>0</v>
      </c>
      <c r="J17" t="str">
        <f t="shared" si="2"/>
        <v>unsure</v>
      </c>
      <c r="Q17">
        <f>X17</f>
        <v>25.9</v>
      </c>
      <c r="R17">
        <f t="shared" ref="R17" si="17">Y17</f>
        <v>38.9</v>
      </c>
      <c r="S17">
        <f t="shared" ref="S17" si="18">Z17</f>
        <v>453</v>
      </c>
      <c r="X17">
        <v>25.9</v>
      </c>
      <c r="Y17">
        <v>38.9</v>
      </c>
      <c r="Z17">
        <v>453</v>
      </c>
      <c r="AA17" s="2">
        <v>1261</v>
      </c>
      <c r="AB17" s="3">
        <v>2</v>
      </c>
      <c r="AC17" s="16" t="s">
        <v>15</v>
      </c>
      <c r="AF17" s="2">
        <v>1261</v>
      </c>
      <c r="AG17">
        <v>9</v>
      </c>
      <c r="AH17">
        <v>3.5</v>
      </c>
      <c r="AI17">
        <v>11.1</v>
      </c>
      <c r="AJ17">
        <v>0</v>
      </c>
      <c r="AK17" t="s">
        <v>35</v>
      </c>
    </row>
    <row r="18" spans="9:38" ht="15.75" x14ac:dyDescent="0.25">
      <c r="I18">
        <f t="shared" si="1"/>
        <v>0</v>
      </c>
      <c r="J18" t="str">
        <f t="shared" si="2"/>
        <v>no</v>
      </c>
      <c r="Q18">
        <f>X18</f>
        <v>22.8</v>
      </c>
      <c r="R18">
        <f t="shared" ref="R18:S18" si="19">Y18</f>
        <v>40.5</v>
      </c>
      <c r="S18">
        <f t="shared" si="19"/>
        <v>164</v>
      </c>
      <c r="X18">
        <v>22.8</v>
      </c>
      <c r="Y18">
        <v>40.5</v>
      </c>
      <c r="Z18">
        <v>164</v>
      </c>
      <c r="AA18" s="2">
        <v>1046</v>
      </c>
      <c r="AB18" s="3">
        <v>2</v>
      </c>
      <c r="AC18" s="16" t="s">
        <v>16</v>
      </c>
      <c r="AF18" s="2">
        <v>1046</v>
      </c>
      <c r="AG18">
        <v>16.7</v>
      </c>
      <c r="AH18">
        <v>0</v>
      </c>
      <c r="AI18">
        <v>16.7</v>
      </c>
      <c r="AJ18">
        <v>0</v>
      </c>
      <c r="AK18" t="s">
        <v>34</v>
      </c>
    </row>
    <row r="19" spans="9:38" ht="15.75" x14ac:dyDescent="0.25">
      <c r="I19">
        <f t="shared" si="1"/>
        <v>0</v>
      </c>
      <c r="J19" t="str">
        <f t="shared" si="2"/>
        <v>yes</v>
      </c>
      <c r="K19">
        <f>X19</f>
        <v>25.2</v>
      </c>
      <c r="L19">
        <f t="shared" ref="L19" si="20">Y19</f>
        <v>73</v>
      </c>
      <c r="M19">
        <f t="shared" ref="M19" si="21">Z19</f>
        <v>265</v>
      </c>
      <c r="X19">
        <v>25.2</v>
      </c>
      <c r="Y19">
        <v>73</v>
      </c>
      <c r="Z19">
        <v>265</v>
      </c>
      <c r="AA19" s="2">
        <v>1134</v>
      </c>
      <c r="AB19" s="3">
        <v>2</v>
      </c>
      <c r="AC19" s="16" t="s">
        <v>17</v>
      </c>
      <c r="AD19" t="s">
        <v>18</v>
      </c>
      <c r="AE19" t="s">
        <v>36</v>
      </c>
      <c r="AF19" s="2">
        <v>1134</v>
      </c>
      <c r="AG19">
        <v>15.3</v>
      </c>
      <c r="AH19">
        <v>0</v>
      </c>
      <c r="AI19">
        <v>22.2</v>
      </c>
      <c r="AJ19">
        <v>0</v>
      </c>
      <c r="AK19" t="s">
        <v>32</v>
      </c>
      <c r="AL19" t="s">
        <v>66</v>
      </c>
    </row>
    <row r="20" spans="9:38" ht="15.75" x14ac:dyDescent="0.25">
      <c r="I20">
        <f t="shared" si="1"/>
        <v>0</v>
      </c>
      <c r="J20" t="str">
        <f t="shared" si="2"/>
        <v>yes</v>
      </c>
      <c r="AA20" s="4">
        <v>1039</v>
      </c>
      <c r="AB20" s="3">
        <v>2</v>
      </c>
      <c r="AC20" s="16" t="s">
        <v>19</v>
      </c>
      <c r="AF20" s="4">
        <v>1039</v>
      </c>
      <c r="AG20">
        <v>18.100000000000001</v>
      </c>
      <c r="AH20">
        <v>12.5</v>
      </c>
      <c r="AI20">
        <v>22.2</v>
      </c>
      <c r="AJ20">
        <v>0</v>
      </c>
      <c r="AK20" t="s">
        <v>32</v>
      </c>
      <c r="AL20" t="s">
        <v>65</v>
      </c>
    </row>
    <row r="21" spans="9:38" ht="15.75" x14ac:dyDescent="0.25">
      <c r="I21">
        <f t="shared" si="1"/>
        <v>0</v>
      </c>
      <c r="J21" t="str">
        <f t="shared" si="2"/>
        <v>yes</v>
      </c>
      <c r="AA21" s="4">
        <v>1058</v>
      </c>
      <c r="AB21" s="3">
        <v>2</v>
      </c>
      <c r="AC21" s="16" t="s">
        <v>19</v>
      </c>
      <c r="AF21" s="4">
        <v>1058</v>
      </c>
      <c r="AG21">
        <v>11.1</v>
      </c>
      <c r="AH21">
        <v>5.6</v>
      </c>
      <c r="AI21">
        <v>11.1</v>
      </c>
      <c r="AJ21">
        <v>0</v>
      </c>
      <c r="AK21" t="s">
        <v>32</v>
      </c>
    </row>
    <row r="22" spans="9:38" ht="15.75" x14ac:dyDescent="0.25">
      <c r="I22">
        <f t="shared" si="1"/>
        <v>0</v>
      </c>
      <c r="J22" t="str">
        <f t="shared" si="2"/>
        <v>yes</v>
      </c>
      <c r="AA22" s="4">
        <v>1059</v>
      </c>
      <c r="AB22" s="3">
        <v>2</v>
      </c>
      <c r="AC22" s="16" t="s">
        <v>19</v>
      </c>
      <c r="AF22" s="4">
        <v>1059</v>
      </c>
      <c r="AG22">
        <v>16.7</v>
      </c>
      <c r="AH22">
        <v>11.1</v>
      </c>
      <c r="AI22">
        <v>11.1</v>
      </c>
      <c r="AJ22">
        <v>0</v>
      </c>
      <c r="AK22" t="s">
        <v>32</v>
      </c>
    </row>
    <row r="23" spans="9:38" ht="15.75" x14ac:dyDescent="0.25">
      <c r="I23">
        <f t="shared" si="1"/>
        <v>0</v>
      </c>
      <c r="J23" t="str">
        <f t="shared" si="2"/>
        <v>yes</v>
      </c>
      <c r="K23">
        <f>X23</f>
        <v>31.4</v>
      </c>
      <c r="L23">
        <f t="shared" ref="L23" si="22">Y23</f>
        <v>39.9</v>
      </c>
      <c r="M23">
        <f t="shared" ref="M23" si="23">Z23</f>
        <v>261</v>
      </c>
      <c r="X23">
        <v>31.4</v>
      </c>
      <c r="Y23">
        <v>39.9</v>
      </c>
      <c r="Z23">
        <v>261</v>
      </c>
      <c r="AA23" s="2">
        <v>1057</v>
      </c>
      <c r="AB23" s="3">
        <v>2</v>
      </c>
      <c r="AC23" s="16" t="s">
        <v>20</v>
      </c>
      <c r="AF23" s="2">
        <v>1057</v>
      </c>
      <c r="AG23">
        <v>11.8</v>
      </c>
      <c r="AH23">
        <v>6.25</v>
      </c>
      <c r="AI23">
        <v>0</v>
      </c>
      <c r="AJ23">
        <v>0</v>
      </c>
      <c r="AK23" t="s">
        <v>32</v>
      </c>
    </row>
    <row r="24" spans="9:38" ht="15.75" x14ac:dyDescent="0.25">
      <c r="I24">
        <f t="shared" si="1"/>
        <v>50</v>
      </c>
      <c r="J24" t="str">
        <f t="shared" si="2"/>
        <v>no</v>
      </c>
      <c r="N24">
        <f>X24</f>
        <v>27.1</v>
      </c>
      <c r="O24">
        <f t="shared" ref="O24" si="24">Y24</f>
        <v>107</v>
      </c>
      <c r="P24">
        <f t="shared" ref="P24" si="25">Z24</f>
        <v>582</v>
      </c>
      <c r="X24">
        <v>27.1</v>
      </c>
      <c r="Y24">
        <v>107</v>
      </c>
      <c r="Z24">
        <v>582</v>
      </c>
      <c r="AA24" s="2">
        <v>1402</v>
      </c>
      <c r="AB24" s="3">
        <v>2</v>
      </c>
      <c r="AC24" s="16" t="s">
        <v>21</v>
      </c>
      <c r="AD24" s="5">
        <v>24624</v>
      </c>
      <c r="AF24" s="2">
        <v>1402</v>
      </c>
      <c r="AG24">
        <v>22.2</v>
      </c>
      <c r="AH24">
        <v>11.1</v>
      </c>
      <c r="AI24">
        <v>22.2</v>
      </c>
      <c r="AJ24">
        <v>50</v>
      </c>
      <c r="AK24" t="s">
        <v>34</v>
      </c>
      <c r="AL24" s="5">
        <v>24624</v>
      </c>
    </row>
    <row r="25" spans="9:38" ht="15.75" x14ac:dyDescent="0.25">
      <c r="I25">
        <f t="shared" si="1"/>
        <v>50</v>
      </c>
      <c r="J25" t="str">
        <f t="shared" si="2"/>
        <v>yes</v>
      </c>
      <c r="N25">
        <f>X25</f>
        <v>13.5</v>
      </c>
      <c r="O25">
        <f t="shared" ref="O25" si="26">Y25</f>
        <v>14.6</v>
      </c>
      <c r="P25">
        <f t="shared" ref="P25" si="27">Z25</f>
        <v>100</v>
      </c>
      <c r="X25">
        <v>13.5</v>
      </c>
      <c r="Y25">
        <v>14.6</v>
      </c>
      <c r="Z25">
        <v>100</v>
      </c>
      <c r="AA25" s="2">
        <v>1314</v>
      </c>
      <c r="AB25" s="3">
        <v>2</v>
      </c>
      <c r="AC25" s="16" t="s">
        <v>21</v>
      </c>
      <c r="AD25" s="5">
        <v>24716</v>
      </c>
      <c r="AF25" s="2">
        <v>1314</v>
      </c>
      <c r="AG25">
        <v>11.1</v>
      </c>
      <c r="AH25">
        <v>0</v>
      </c>
      <c r="AI25">
        <v>22.2</v>
      </c>
      <c r="AJ25">
        <v>50</v>
      </c>
      <c r="AK25" t="s">
        <v>32</v>
      </c>
      <c r="AL25" s="5">
        <v>24716</v>
      </c>
    </row>
    <row r="26" spans="9:38" ht="15.75" x14ac:dyDescent="0.25">
      <c r="I26">
        <f t="shared" si="1"/>
        <v>0</v>
      </c>
      <c r="J26" t="str">
        <f t="shared" si="2"/>
        <v>yes</v>
      </c>
      <c r="T26">
        <f>X26</f>
        <v>10.6</v>
      </c>
      <c r="U26">
        <f t="shared" ref="U26:U33" si="28">Y26</f>
        <v>12.4</v>
      </c>
      <c r="V26">
        <f t="shared" ref="V26:V33" si="29">Z26</f>
        <v>109</v>
      </c>
      <c r="X26">
        <v>10.6</v>
      </c>
      <c r="Y26">
        <v>12.4</v>
      </c>
      <c r="Z26">
        <v>109</v>
      </c>
      <c r="AA26" s="2">
        <v>1567</v>
      </c>
      <c r="AB26" s="3">
        <v>3</v>
      </c>
      <c r="AC26" s="16" t="s">
        <v>22</v>
      </c>
      <c r="AF26" s="2">
        <v>1567</v>
      </c>
      <c r="AG26">
        <v>16.7</v>
      </c>
      <c r="AH26">
        <v>5.6</v>
      </c>
      <c r="AI26">
        <v>11.1</v>
      </c>
      <c r="AJ26">
        <v>0</v>
      </c>
      <c r="AK26" t="s">
        <v>32</v>
      </c>
      <c r="AL26" t="s">
        <v>67</v>
      </c>
    </row>
    <row r="27" spans="9:38" ht="15.75" x14ac:dyDescent="0.25">
      <c r="I27">
        <f t="shared" si="1"/>
        <v>0</v>
      </c>
      <c r="J27" t="str">
        <f t="shared" si="2"/>
        <v>yes</v>
      </c>
      <c r="T27">
        <f t="shared" ref="T27:T33" si="30">X27</f>
        <v>11.5</v>
      </c>
      <c r="U27">
        <f t="shared" si="28"/>
        <v>14.6</v>
      </c>
      <c r="V27">
        <f t="shared" si="29"/>
        <v>106</v>
      </c>
      <c r="X27">
        <v>11.5</v>
      </c>
      <c r="Y27">
        <v>14.6</v>
      </c>
      <c r="Z27">
        <v>106</v>
      </c>
      <c r="AA27" s="2">
        <v>1702</v>
      </c>
      <c r="AB27" s="3">
        <v>2</v>
      </c>
      <c r="AC27" s="16" t="s">
        <v>23</v>
      </c>
      <c r="AF27" s="2">
        <v>1702</v>
      </c>
      <c r="AG27">
        <v>11.1</v>
      </c>
      <c r="AH27">
        <v>0</v>
      </c>
      <c r="AI27">
        <v>11.1</v>
      </c>
      <c r="AJ27">
        <v>0</v>
      </c>
      <c r="AK27" t="s">
        <v>32</v>
      </c>
    </row>
    <row r="28" spans="9:38" ht="15.75" x14ac:dyDescent="0.25">
      <c r="I28">
        <f t="shared" si="1"/>
        <v>0</v>
      </c>
      <c r="J28" t="str">
        <f t="shared" si="2"/>
        <v>no</v>
      </c>
      <c r="T28">
        <f t="shared" si="30"/>
        <v>20.7</v>
      </c>
      <c r="U28">
        <f t="shared" si="28"/>
        <v>39.9</v>
      </c>
      <c r="V28">
        <f t="shared" si="29"/>
        <v>173</v>
      </c>
      <c r="X28">
        <v>20.7</v>
      </c>
      <c r="Y28">
        <v>39.9</v>
      </c>
      <c r="Z28">
        <v>173</v>
      </c>
      <c r="AA28" s="2">
        <v>1030</v>
      </c>
      <c r="AB28" s="3">
        <v>2</v>
      </c>
      <c r="AC28" s="16" t="s">
        <v>24</v>
      </c>
      <c r="AF28" s="2">
        <v>1030</v>
      </c>
      <c r="AG28">
        <v>22.2</v>
      </c>
      <c r="AH28">
        <v>11.1</v>
      </c>
      <c r="AI28">
        <v>22.2</v>
      </c>
      <c r="AJ28">
        <v>0</v>
      </c>
      <c r="AK28" t="s">
        <v>34</v>
      </c>
    </row>
    <row r="29" spans="9:38" ht="15.75" x14ac:dyDescent="0.25">
      <c r="I29">
        <f t="shared" si="1"/>
        <v>0</v>
      </c>
      <c r="J29" t="str">
        <f t="shared" si="2"/>
        <v>yes</v>
      </c>
      <c r="T29">
        <f t="shared" si="30"/>
        <v>17.3</v>
      </c>
      <c r="U29">
        <f t="shared" si="28"/>
        <v>21.3</v>
      </c>
      <c r="V29">
        <f t="shared" si="29"/>
        <v>95.9</v>
      </c>
      <c r="X29">
        <v>17.3</v>
      </c>
      <c r="Y29">
        <v>21.3</v>
      </c>
      <c r="Z29">
        <v>95.9</v>
      </c>
      <c r="AA29" s="2">
        <v>1106</v>
      </c>
      <c r="AB29" s="3">
        <v>2</v>
      </c>
      <c r="AC29" s="16" t="s">
        <v>17</v>
      </c>
      <c r="AF29" s="2">
        <v>1106</v>
      </c>
      <c r="AG29">
        <v>2.8</v>
      </c>
      <c r="AH29">
        <v>0</v>
      </c>
      <c r="AI29">
        <v>11.1</v>
      </c>
      <c r="AJ29">
        <v>0</v>
      </c>
      <c r="AK29" t="s">
        <v>32</v>
      </c>
    </row>
    <row r="30" spans="9:38" ht="15.75" x14ac:dyDescent="0.25">
      <c r="I30">
        <f t="shared" si="1"/>
        <v>0</v>
      </c>
      <c r="J30" t="str">
        <f t="shared" si="2"/>
        <v>yes</v>
      </c>
      <c r="T30">
        <f t="shared" si="30"/>
        <v>14.1</v>
      </c>
      <c r="U30">
        <f t="shared" si="28"/>
        <v>20.6</v>
      </c>
      <c r="V30">
        <f t="shared" si="29"/>
        <v>287</v>
      </c>
      <c r="X30">
        <v>14.1</v>
      </c>
      <c r="Y30">
        <v>20.6</v>
      </c>
      <c r="Z30">
        <v>287</v>
      </c>
      <c r="AA30" s="2">
        <v>1047</v>
      </c>
      <c r="AB30" s="3">
        <v>3</v>
      </c>
      <c r="AC30" s="16" t="s">
        <v>25</v>
      </c>
      <c r="AF30" s="2">
        <v>1047</v>
      </c>
      <c r="AG30">
        <v>8.3000000000000007</v>
      </c>
      <c r="AH30">
        <v>2.8</v>
      </c>
      <c r="AI30">
        <v>16.7</v>
      </c>
      <c r="AJ30">
        <v>0</v>
      </c>
      <c r="AK30" t="s">
        <v>32</v>
      </c>
    </row>
    <row r="31" spans="9:38" ht="15.75" x14ac:dyDescent="0.25">
      <c r="I31">
        <f t="shared" si="1"/>
        <v>0</v>
      </c>
      <c r="J31" t="str">
        <f t="shared" si="2"/>
        <v>no</v>
      </c>
      <c r="T31">
        <f t="shared" si="30"/>
        <v>19.3</v>
      </c>
      <c r="U31">
        <f t="shared" si="28"/>
        <v>20.9</v>
      </c>
      <c r="V31">
        <f t="shared" si="29"/>
        <v>158</v>
      </c>
      <c r="X31">
        <v>19.3</v>
      </c>
      <c r="Y31">
        <v>20.9</v>
      </c>
      <c r="Z31">
        <v>158</v>
      </c>
      <c r="AA31" s="2">
        <v>1048</v>
      </c>
      <c r="AB31" s="3">
        <v>3</v>
      </c>
      <c r="AC31" s="16" t="s">
        <v>25</v>
      </c>
      <c r="AF31" s="2">
        <v>1048</v>
      </c>
      <c r="AG31">
        <v>11.1</v>
      </c>
      <c r="AH31">
        <v>0</v>
      </c>
      <c r="AI31">
        <v>11.1</v>
      </c>
      <c r="AJ31">
        <v>0</v>
      </c>
      <c r="AK31" t="s">
        <v>34</v>
      </c>
    </row>
    <row r="32" spans="9:38" ht="15.75" x14ac:dyDescent="0.25">
      <c r="I32">
        <f t="shared" si="1"/>
        <v>0</v>
      </c>
      <c r="J32" t="str">
        <f t="shared" si="2"/>
        <v>no</v>
      </c>
      <c r="T32">
        <f t="shared" si="30"/>
        <v>43.5</v>
      </c>
      <c r="U32">
        <f t="shared" si="28"/>
        <v>26.2</v>
      </c>
      <c r="V32">
        <f t="shared" si="29"/>
        <v>554</v>
      </c>
      <c r="X32" s="6">
        <v>43.5</v>
      </c>
      <c r="Y32">
        <v>26.2</v>
      </c>
      <c r="Z32" s="6">
        <v>554</v>
      </c>
      <c r="AA32" s="2">
        <v>1550</v>
      </c>
      <c r="AB32" s="3">
        <v>2</v>
      </c>
      <c r="AC32" s="16" t="s">
        <v>25</v>
      </c>
      <c r="AF32" s="2">
        <v>1550</v>
      </c>
      <c r="AG32">
        <v>8.3000000000000007</v>
      </c>
      <c r="AH32">
        <v>0</v>
      </c>
      <c r="AI32">
        <v>0</v>
      </c>
      <c r="AJ32">
        <v>0</v>
      </c>
      <c r="AK32" t="s">
        <v>34</v>
      </c>
      <c r="AL32" t="s">
        <v>68</v>
      </c>
    </row>
    <row r="33" spans="9:49" ht="15.75" x14ac:dyDescent="0.25">
      <c r="I33">
        <f t="shared" si="1"/>
        <v>0</v>
      </c>
      <c r="J33" t="str">
        <f t="shared" si="2"/>
        <v>yes</v>
      </c>
      <c r="T33">
        <f t="shared" si="30"/>
        <v>20.6</v>
      </c>
      <c r="U33">
        <f t="shared" si="28"/>
        <v>27.5</v>
      </c>
      <c r="V33">
        <f t="shared" si="29"/>
        <v>249</v>
      </c>
      <c r="X33">
        <v>20.6</v>
      </c>
      <c r="Y33">
        <v>27.5</v>
      </c>
      <c r="Z33">
        <v>249</v>
      </c>
      <c r="AA33" s="2">
        <v>1627</v>
      </c>
      <c r="AB33" s="3">
        <v>2</v>
      </c>
      <c r="AC33" s="16" t="s">
        <v>26</v>
      </c>
      <c r="AF33" s="2">
        <v>1627</v>
      </c>
      <c r="AG33">
        <v>11.1</v>
      </c>
      <c r="AH33">
        <v>5.6</v>
      </c>
      <c r="AI33">
        <v>11.1</v>
      </c>
      <c r="AJ33">
        <v>0</v>
      </c>
      <c r="AK33" t="s">
        <v>32</v>
      </c>
    </row>
    <row r="34" spans="9:49" ht="15.75" x14ac:dyDescent="0.25">
      <c r="K34" t="s">
        <v>75</v>
      </c>
      <c r="L34" t="s">
        <v>75</v>
      </c>
      <c r="M34" t="s">
        <v>75</v>
      </c>
      <c r="N34" t="s">
        <v>74</v>
      </c>
      <c r="O34" t="s">
        <v>74</v>
      </c>
      <c r="P34" t="s">
        <v>74</v>
      </c>
      <c r="Q34" t="s">
        <v>76</v>
      </c>
      <c r="R34" t="s">
        <v>76</v>
      </c>
      <c r="S34" t="s">
        <v>76</v>
      </c>
      <c r="T34" t="s">
        <v>77</v>
      </c>
      <c r="U34" t="s">
        <v>77</v>
      </c>
      <c r="V34" t="s">
        <v>77</v>
      </c>
      <c r="AC34" s="17"/>
      <c r="AF34" s="2"/>
    </row>
    <row r="35" spans="9:49" x14ac:dyDescent="0.25">
      <c r="K35" s="15">
        <f>AVERAGE(K6:K33)</f>
        <v>31.533333333333331</v>
      </c>
      <c r="L35" s="15">
        <f t="shared" ref="L35:V35" si="31">AVERAGE(L6:L33)</f>
        <v>75.149999999999991</v>
      </c>
      <c r="M35" s="15">
        <f t="shared" si="31"/>
        <v>474.33333333333331</v>
      </c>
      <c r="N35" s="15">
        <f t="shared" si="31"/>
        <v>21.849999999999998</v>
      </c>
      <c r="O35" s="15">
        <f t="shared" si="31"/>
        <v>55.45000000000001</v>
      </c>
      <c r="P35" s="15">
        <f t="shared" si="31"/>
        <v>346.83333333333331</v>
      </c>
      <c r="Q35" s="15">
        <f t="shared" si="31"/>
        <v>21.900000000000002</v>
      </c>
      <c r="R35" s="15">
        <f t="shared" si="31"/>
        <v>38.066666666666663</v>
      </c>
      <c r="S35" s="15">
        <f t="shared" si="31"/>
        <v>296</v>
      </c>
      <c r="T35" s="15">
        <f>AVERAGE(T6:T33)</f>
        <v>19.7</v>
      </c>
      <c r="U35" s="15">
        <f t="shared" si="31"/>
        <v>22.925000000000001</v>
      </c>
      <c r="V35" s="15">
        <f t="shared" si="31"/>
        <v>216.48750000000001</v>
      </c>
      <c r="AC35" s="17"/>
    </row>
    <row r="36" spans="9:49" x14ac:dyDescent="0.25">
      <c r="K36">
        <f>COUNT(K6:K33)</f>
        <v>6</v>
      </c>
      <c r="L36">
        <f t="shared" ref="L36:V36" si="32">COUNT(L6:L33)</f>
        <v>6</v>
      </c>
      <c r="M36">
        <f t="shared" si="32"/>
        <v>6</v>
      </c>
      <c r="N36">
        <f t="shared" si="32"/>
        <v>6</v>
      </c>
      <c r="O36">
        <f t="shared" si="32"/>
        <v>6</v>
      </c>
      <c r="P36">
        <f t="shared" si="32"/>
        <v>6</v>
      </c>
      <c r="Q36">
        <f t="shared" si="32"/>
        <v>3</v>
      </c>
      <c r="R36">
        <f t="shared" si="32"/>
        <v>3</v>
      </c>
      <c r="S36">
        <f t="shared" si="32"/>
        <v>3</v>
      </c>
      <c r="T36">
        <f t="shared" si="32"/>
        <v>8</v>
      </c>
      <c r="U36">
        <f t="shared" si="32"/>
        <v>8</v>
      </c>
      <c r="V36">
        <f t="shared" si="32"/>
        <v>8</v>
      </c>
      <c r="AC36" s="17"/>
    </row>
    <row r="37" spans="9:49" ht="15.75" x14ac:dyDescent="0.25">
      <c r="AC37" s="17"/>
      <c r="AF37" s="2"/>
    </row>
    <row r="38" spans="9:49" ht="15.75" x14ac:dyDescent="0.25">
      <c r="AC38" s="16"/>
      <c r="AF38" s="2"/>
    </row>
    <row r="39" spans="9:49" ht="15.75" x14ac:dyDescent="0.25">
      <c r="K39" s="15">
        <v>14.118888888888893</v>
      </c>
      <c r="L39" s="15">
        <v>24.783333333333335</v>
      </c>
      <c r="M39" s="15">
        <v>227.44444444444446</v>
      </c>
      <c r="N39" t="s">
        <v>73</v>
      </c>
      <c r="AC39" s="16"/>
      <c r="AF39" s="2"/>
    </row>
    <row r="40" spans="9:49" ht="15.75" x14ac:dyDescent="0.25">
      <c r="K40">
        <v>18</v>
      </c>
      <c r="L40">
        <v>18</v>
      </c>
      <c r="M40">
        <v>18</v>
      </c>
      <c r="X40" t="s">
        <v>0</v>
      </c>
      <c r="Y40" t="s">
        <v>1</v>
      </c>
      <c r="Z40" t="s">
        <v>2</v>
      </c>
      <c r="AC40" s="17"/>
      <c r="AF40" s="2"/>
    </row>
    <row r="41" spans="9:49" ht="15.75" x14ac:dyDescent="0.25">
      <c r="AA41" s="4">
        <v>1395</v>
      </c>
      <c r="AB41" t="s">
        <v>37</v>
      </c>
      <c r="AC41" s="16" t="s">
        <v>38</v>
      </c>
      <c r="AF41" s="2">
        <v>1395</v>
      </c>
      <c r="AG41">
        <v>8.3000000000000007</v>
      </c>
      <c r="AH41">
        <v>0</v>
      </c>
      <c r="AI41">
        <v>2.8</v>
      </c>
      <c r="AJ41">
        <v>0</v>
      </c>
      <c r="AK41" t="s">
        <v>34</v>
      </c>
      <c r="AL41" s="7"/>
      <c r="AM41" s="3"/>
      <c r="AN41" s="3"/>
      <c r="AO41" s="2"/>
      <c r="AP41" s="8"/>
      <c r="AQ41" s="8"/>
      <c r="AW41" s="8"/>
    </row>
    <row r="42" spans="9:49" ht="15.75" x14ac:dyDescent="0.25">
      <c r="L42" t="s">
        <v>71</v>
      </c>
      <c r="M42" t="s">
        <v>69</v>
      </c>
      <c r="N42" t="s">
        <v>70</v>
      </c>
      <c r="AA42" s="4">
        <v>1559</v>
      </c>
      <c r="AB42" t="s">
        <v>37</v>
      </c>
      <c r="AC42" s="16" t="s">
        <v>39</v>
      </c>
      <c r="AF42" s="2">
        <v>1559</v>
      </c>
      <c r="AG42">
        <v>11.1</v>
      </c>
      <c r="AH42">
        <v>11.1</v>
      </c>
      <c r="AI42">
        <v>11.1</v>
      </c>
      <c r="AJ42">
        <v>0</v>
      </c>
      <c r="AK42" t="s">
        <v>35</v>
      </c>
      <c r="AL42" s="7"/>
      <c r="AM42" s="3"/>
      <c r="AN42" s="3"/>
      <c r="AO42" s="2"/>
      <c r="AP42" s="8"/>
      <c r="AQ42" s="8"/>
      <c r="AW42" s="8"/>
    </row>
    <row r="43" spans="9:49" ht="15.75" x14ac:dyDescent="0.25">
      <c r="X43" s="9">
        <v>18.100000000000001</v>
      </c>
      <c r="Y43" s="9">
        <v>40.299999999999997</v>
      </c>
      <c r="Z43" s="9">
        <v>575</v>
      </c>
      <c r="AA43" s="10">
        <v>1714</v>
      </c>
      <c r="AC43" s="16" t="s">
        <v>40</v>
      </c>
      <c r="AF43" s="2">
        <v>1714</v>
      </c>
      <c r="AG43">
        <v>19.399999999999999</v>
      </c>
      <c r="AH43">
        <v>5.6</v>
      </c>
      <c r="AI43">
        <v>11.1</v>
      </c>
      <c r="AJ43" s="9">
        <v>100</v>
      </c>
      <c r="AK43" s="9" t="s">
        <v>32</v>
      </c>
      <c r="AL43" s="7"/>
      <c r="AM43" s="3"/>
      <c r="AN43" s="3"/>
      <c r="AO43" s="2"/>
      <c r="AP43" s="8"/>
      <c r="AQ43" s="8"/>
      <c r="AW43" s="8"/>
    </row>
    <row r="44" spans="9:49" ht="15.75" x14ac:dyDescent="0.25">
      <c r="K44" t="s">
        <v>0</v>
      </c>
      <c r="L44">
        <v>15.9</v>
      </c>
      <c r="M44">
        <v>13.8</v>
      </c>
      <c r="N44">
        <v>16.8</v>
      </c>
      <c r="X44">
        <v>8.31</v>
      </c>
      <c r="Y44">
        <v>26</v>
      </c>
      <c r="Z44">
        <v>178</v>
      </c>
      <c r="AA44" s="2">
        <v>1267</v>
      </c>
      <c r="AC44" s="16" t="s">
        <v>41</v>
      </c>
      <c r="AF44" s="2">
        <v>1267</v>
      </c>
      <c r="AG44">
        <v>8.3000000000000007</v>
      </c>
      <c r="AH44">
        <v>0</v>
      </c>
      <c r="AI44">
        <v>11.1</v>
      </c>
      <c r="AJ44">
        <v>0</v>
      </c>
      <c r="AK44" t="s">
        <v>34</v>
      </c>
      <c r="AL44" s="7"/>
      <c r="AM44" s="3"/>
      <c r="AN44" s="3"/>
      <c r="AO44" s="2"/>
      <c r="AP44" s="8"/>
      <c r="AQ44" s="8"/>
      <c r="AW44" s="8"/>
    </row>
    <row r="45" spans="9:49" ht="15.75" x14ac:dyDescent="0.25">
      <c r="K45" t="s">
        <v>1</v>
      </c>
      <c r="L45">
        <v>22.3</v>
      </c>
      <c r="M45">
        <v>22</v>
      </c>
      <c r="N45">
        <v>28</v>
      </c>
      <c r="AA45" s="4">
        <v>1735</v>
      </c>
      <c r="AB45" t="s">
        <v>42</v>
      </c>
      <c r="AC45" s="16" t="s">
        <v>43</v>
      </c>
      <c r="AF45" s="2">
        <v>1735</v>
      </c>
      <c r="AG45">
        <v>8.3000000000000007</v>
      </c>
      <c r="AH45">
        <v>0</v>
      </c>
      <c r="AI45">
        <v>22.2</v>
      </c>
      <c r="AJ45">
        <v>50</v>
      </c>
      <c r="AK45" t="s">
        <v>34</v>
      </c>
      <c r="AL45" s="7"/>
      <c r="AM45" s="3"/>
      <c r="AN45" s="3"/>
      <c r="AO45" s="2"/>
      <c r="AP45" s="8"/>
      <c r="AQ45" s="8"/>
      <c r="AW45" s="8"/>
    </row>
    <row r="46" spans="9:49" ht="15.75" x14ac:dyDescent="0.25">
      <c r="K46" t="s">
        <v>2</v>
      </c>
      <c r="L46">
        <v>225.4</v>
      </c>
      <c r="M46">
        <v>192.7</v>
      </c>
      <c r="N46">
        <v>264.2</v>
      </c>
      <c r="X46">
        <v>8.65</v>
      </c>
      <c r="Y46">
        <v>19.3</v>
      </c>
      <c r="Z46">
        <v>240</v>
      </c>
      <c r="AA46" s="2">
        <v>1069</v>
      </c>
      <c r="AC46" s="16" t="s">
        <v>44</v>
      </c>
      <c r="AF46" s="2">
        <v>1069</v>
      </c>
      <c r="AG46">
        <v>16.7</v>
      </c>
      <c r="AH46">
        <v>2.8</v>
      </c>
      <c r="AI46">
        <v>0</v>
      </c>
      <c r="AJ46">
        <v>0</v>
      </c>
      <c r="AK46" t="s">
        <v>34</v>
      </c>
      <c r="AL46" s="7"/>
      <c r="AM46" s="3"/>
      <c r="AN46" s="3"/>
      <c r="AO46" s="2"/>
      <c r="AP46" s="8"/>
      <c r="AQ46" s="8"/>
      <c r="AW46" s="8"/>
    </row>
    <row r="47" spans="9:49" ht="15.75" x14ac:dyDescent="0.25">
      <c r="X47">
        <v>15.4</v>
      </c>
      <c r="Y47">
        <v>12.5</v>
      </c>
      <c r="Z47">
        <v>175</v>
      </c>
      <c r="AA47" s="2">
        <v>1158</v>
      </c>
      <c r="AC47" s="16" t="s">
        <v>45</v>
      </c>
      <c r="AF47" s="2">
        <v>1158</v>
      </c>
      <c r="AG47">
        <v>4.2</v>
      </c>
      <c r="AH47">
        <v>0</v>
      </c>
      <c r="AI47">
        <v>0</v>
      </c>
      <c r="AJ47">
        <v>0</v>
      </c>
      <c r="AK47" t="s">
        <v>34</v>
      </c>
      <c r="AL47" s="7"/>
      <c r="AM47" s="3"/>
      <c r="AN47" s="3"/>
      <c r="AO47" s="2"/>
      <c r="AP47" s="8"/>
      <c r="AQ47" s="8"/>
      <c r="AW47" s="8"/>
    </row>
    <row r="48" spans="9:49" ht="15.75" x14ac:dyDescent="0.25">
      <c r="X48">
        <v>17.2</v>
      </c>
      <c r="Y48">
        <v>12</v>
      </c>
      <c r="Z48">
        <v>250</v>
      </c>
      <c r="AA48" s="2">
        <v>1583</v>
      </c>
      <c r="AC48" s="16" t="s">
        <v>46</v>
      </c>
      <c r="AF48" s="2">
        <v>1583</v>
      </c>
      <c r="AG48">
        <v>12.5</v>
      </c>
      <c r="AH48">
        <v>1.4</v>
      </c>
      <c r="AI48">
        <v>11.1</v>
      </c>
      <c r="AJ48">
        <v>0</v>
      </c>
      <c r="AK48" t="s">
        <v>32</v>
      </c>
      <c r="AL48" s="7"/>
      <c r="AM48" s="3"/>
      <c r="AN48" s="3"/>
      <c r="AO48" s="2"/>
      <c r="AP48" s="8"/>
      <c r="AQ48" s="8"/>
      <c r="AW48" s="8"/>
    </row>
    <row r="49" spans="24:49" ht="15.75" x14ac:dyDescent="0.25">
      <c r="AA49" s="4">
        <v>1419</v>
      </c>
      <c r="AB49" t="s">
        <v>37</v>
      </c>
      <c r="AC49" s="16" t="s">
        <v>47</v>
      </c>
      <c r="AF49" s="2">
        <v>1419</v>
      </c>
      <c r="AG49">
        <v>25</v>
      </c>
      <c r="AH49">
        <v>13.8</v>
      </c>
      <c r="AI49">
        <v>11.1</v>
      </c>
      <c r="AJ49">
        <v>0</v>
      </c>
      <c r="AK49" t="s">
        <v>32</v>
      </c>
      <c r="AL49" s="7"/>
      <c r="AM49" s="3"/>
      <c r="AN49" s="3"/>
      <c r="AO49" s="2"/>
      <c r="AP49" s="8"/>
      <c r="AQ49" s="8"/>
      <c r="AW49" s="8"/>
    </row>
    <row r="50" spans="24:49" ht="15.75" x14ac:dyDescent="0.25">
      <c r="X50">
        <v>13</v>
      </c>
      <c r="Y50">
        <v>19.5</v>
      </c>
      <c r="Z50">
        <v>231</v>
      </c>
      <c r="AA50" s="2">
        <v>1544</v>
      </c>
      <c r="AC50" s="16" t="s">
        <v>48</v>
      </c>
      <c r="AF50" s="2">
        <v>1544</v>
      </c>
      <c r="AG50">
        <v>22.2</v>
      </c>
      <c r="AH50">
        <v>16.7</v>
      </c>
      <c r="AI50">
        <v>22.2</v>
      </c>
      <c r="AJ50">
        <v>25</v>
      </c>
      <c r="AK50" t="s">
        <v>32</v>
      </c>
      <c r="AL50" s="7"/>
      <c r="AM50" s="3"/>
      <c r="AN50" s="3"/>
      <c r="AO50" s="2"/>
      <c r="AP50" s="8"/>
      <c r="AQ50" s="8"/>
      <c r="AW50" s="8"/>
    </row>
    <row r="51" spans="24:49" ht="15.75" x14ac:dyDescent="0.25">
      <c r="X51">
        <v>13.9</v>
      </c>
      <c r="Y51">
        <v>13.3</v>
      </c>
      <c r="Z51">
        <v>207</v>
      </c>
      <c r="AA51" s="2">
        <v>1681</v>
      </c>
      <c r="AC51" s="16" t="s">
        <v>48</v>
      </c>
      <c r="AF51" s="2">
        <v>1681</v>
      </c>
      <c r="AG51">
        <v>8.3000000000000007</v>
      </c>
      <c r="AH51">
        <v>0</v>
      </c>
      <c r="AI51">
        <v>11.1</v>
      </c>
      <c r="AJ51">
        <v>25</v>
      </c>
      <c r="AK51" t="s">
        <v>32</v>
      </c>
      <c r="AL51" s="7"/>
      <c r="AM51" s="3"/>
      <c r="AN51" s="3"/>
      <c r="AO51" s="2"/>
      <c r="AP51" s="8"/>
      <c r="AQ51" s="8"/>
      <c r="AW51" s="8"/>
    </row>
    <row r="52" spans="24:49" ht="15.75" x14ac:dyDescent="0.25">
      <c r="AA52" s="4">
        <v>1070</v>
      </c>
      <c r="AB52" t="s">
        <v>42</v>
      </c>
      <c r="AC52" s="16" t="s">
        <v>49</v>
      </c>
      <c r="AF52" s="2">
        <v>1070</v>
      </c>
      <c r="AG52">
        <v>27.8</v>
      </c>
      <c r="AH52">
        <v>11.1</v>
      </c>
      <c r="AI52">
        <v>22.2</v>
      </c>
      <c r="AJ52">
        <v>12.5</v>
      </c>
      <c r="AK52" t="s">
        <v>32</v>
      </c>
      <c r="AL52" s="7"/>
      <c r="AM52" s="3"/>
      <c r="AN52" s="3"/>
      <c r="AO52" s="2"/>
      <c r="AP52" s="8"/>
      <c r="AQ52" s="8"/>
      <c r="AW52" s="8"/>
    </row>
    <row r="53" spans="24:49" ht="15.75" x14ac:dyDescent="0.25">
      <c r="AA53" s="4">
        <v>1323</v>
      </c>
      <c r="AB53" t="s">
        <v>37</v>
      </c>
      <c r="AC53" s="16" t="s">
        <v>50</v>
      </c>
      <c r="AF53" s="2">
        <v>1323</v>
      </c>
      <c r="AG53">
        <v>4.2</v>
      </c>
      <c r="AH53">
        <v>0</v>
      </c>
      <c r="AI53">
        <v>5.6</v>
      </c>
      <c r="AJ53">
        <v>0</v>
      </c>
      <c r="AK53" t="s">
        <v>32</v>
      </c>
      <c r="AL53" s="7"/>
      <c r="AM53" s="3"/>
      <c r="AN53" s="3"/>
      <c r="AO53" s="2"/>
      <c r="AP53" s="8"/>
      <c r="AQ53" s="8"/>
      <c r="AW53" s="8"/>
    </row>
    <row r="54" spans="24:49" ht="15.75" x14ac:dyDescent="0.25">
      <c r="X54">
        <v>37.299999999999997</v>
      </c>
      <c r="Y54">
        <v>22.7</v>
      </c>
      <c r="Z54">
        <v>333</v>
      </c>
      <c r="AA54" s="2">
        <v>1408</v>
      </c>
      <c r="AC54" s="16" t="s">
        <v>51</v>
      </c>
      <c r="AF54" s="2">
        <v>1408</v>
      </c>
      <c r="AG54">
        <v>0</v>
      </c>
      <c r="AH54">
        <v>0</v>
      </c>
      <c r="AI54">
        <v>0</v>
      </c>
      <c r="AJ54">
        <v>0</v>
      </c>
      <c r="AK54" t="s">
        <v>34</v>
      </c>
      <c r="AL54" s="7"/>
      <c r="AM54" s="3"/>
      <c r="AN54" s="3"/>
      <c r="AO54" s="2"/>
      <c r="AP54" s="8"/>
      <c r="AQ54" s="8"/>
      <c r="AW54" s="8"/>
    </row>
    <row r="55" spans="24:49" ht="15.75" x14ac:dyDescent="0.25">
      <c r="X55">
        <v>16.399999999999999</v>
      </c>
      <c r="Y55">
        <v>33.200000000000003</v>
      </c>
      <c r="Z55">
        <v>271</v>
      </c>
      <c r="AA55" s="2">
        <v>1019</v>
      </c>
      <c r="AC55" s="16" t="s">
        <v>52</v>
      </c>
      <c r="AD55" t="s">
        <v>61</v>
      </c>
      <c r="AE55" t="s">
        <v>62</v>
      </c>
      <c r="AF55" s="2">
        <v>1019</v>
      </c>
      <c r="AG55">
        <v>0</v>
      </c>
      <c r="AH55">
        <v>0</v>
      </c>
      <c r="AI55">
        <v>0</v>
      </c>
      <c r="AJ55">
        <v>0</v>
      </c>
      <c r="AK55" t="s">
        <v>34</v>
      </c>
      <c r="AL55" s="7"/>
      <c r="AM55" s="3"/>
      <c r="AN55" s="3"/>
      <c r="AO55" s="2"/>
      <c r="AP55" s="8"/>
      <c r="AQ55" s="8"/>
      <c r="AW55" s="8"/>
    </row>
    <row r="56" spans="24:49" ht="15.75" x14ac:dyDescent="0.25">
      <c r="X56">
        <v>11.4</v>
      </c>
      <c r="Y56">
        <v>28.1</v>
      </c>
      <c r="Z56">
        <v>156</v>
      </c>
      <c r="AA56" s="2">
        <v>1338</v>
      </c>
      <c r="AC56" s="16" t="s">
        <v>53</v>
      </c>
      <c r="AF56" s="2">
        <v>1338</v>
      </c>
      <c r="AG56">
        <v>8.3000000000000007</v>
      </c>
      <c r="AH56">
        <v>3.5</v>
      </c>
      <c r="AI56">
        <v>5.6</v>
      </c>
      <c r="AJ56">
        <v>25</v>
      </c>
      <c r="AK56" t="s">
        <v>32</v>
      </c>
      <c r="AL56" s="7"/>
      <c r="AM56" s="3"/>
      <c r="AN56" s="3"/>
      <c r="AO56" s="2"/>
      <c r="AP56" s="8"/>
      <c r="AQ56" s="8"/>
      <c r="AW56" s="8"/>
    </row>
    <row r="57" spans="24:49" ht="15.75" x14ac:dyDescent="0.25">
      <c r="X57">
        <v>14.5</v>
      </c>
      <c r="Y57">
        <v>33</v>
      </c>
      <c r="Z57">
        <v>188</v>
      </c>
      <c r="AA57" s="2">
        <v>1452</v>
      </c>
      <c r="AC57" s="16" t="s">
        <v>54</v>
      </c>
      <c r="AF57" s="2">
        <v>1452</v>
      </c>
      <c r="AG57">
        <v>8.3000000000000007</v>
      </c>
      <c r="AH57">
        <v>20.8</v>
      </c>
      <c r="AI57">
        <v>22.2</v>
      </c>
      <c r="AJ57">
        <v>0</v>
      </c>
      <c r="AK57" t="s">
        <v>32</v>
      </c>
      <c r="AL57" s="7"/>
      <c r="AM57" s="3"/>
      <c r="AN57" s="3"/>
      <c r="AO57" s="2"/>
      <c r="AP57" s="8"/>
      <c r="AQ57" s="8"/>
      <c r="AW57" s="8"/>
    </row>
    <row r="58" spans="24:49" ht="15.75" x14ac:dyDescent="0.25">
      <c r="X58">
        <v>12</v>
      </c>
      <c r="Y58">
        <v>17.5</v>
      </c>
      <c r="Z58">
        <v>148</v>
      </c>
      <c r="AA58" s="2">
        <v>1493</v>
      </c>
      <c r="AC58" s="16" t="s">
        <v>55</v>
      </c>
      <c r="AF58" s="2">
        <v>1493</v>
      </c>
      <c r="AG58">
        <v>25</v>
      </c>
      <c r="AH58">
        <v>8.3000000000000007</v>
      </c>
      <c r="AI58">
        <v>0</v>
      </c>
      <c r="AJ58">
        <v>0</v>
      </c>
      <c r="AK58" t="s">
        <v>32</v>
      </c>
      <c r="AL58" s="7"/>
      <c r="AM58" s="3"/>
      <c r="AN58" s="3"/>
      <c r="AO58" s="2"/>
      <c r="AP58" s="8"/>
      <c r="AQ58" s="8"/>
      <c r="AW58" s="8"/>
    </row>
    <row r="59" spans="24:49" ht="15.75" x14ac:dyDescent="0.25">
      <c r="X59">
        <v>12.8</v>
      </c>
      <c r="Y59">
        <v>19.3</v>
      </c>
      <c r="Z59">
        <v>174</v>
      </c>
      <c r="AA59" s="2">
        <v>1453</v>
      </c>
      <c r="AC59" s="16" t="s">
        <v>56</v>
      </c>
      <c r="AF59" s="2">
        <v>1453</v>
      </c>
      <c r="AG59">
        <v>0</v>
      </c>
      <c r="AH59">
        <v>0</v>
      </c>
      <c r="AI59">
        <v>0</v>
      </c>
      <c r="AJ59">
        <v>0</v>
      </c>
      <c r="AK59" t="s">
        <v>35</v>
      </c>
      <c r="AL59" s="7"/>
      <c r="AM59" s="3"/>
      <c r="AN59" s="3"/>
      <c r="AO59" s="2"/>
      <c r="AP59" s="8"/>
      <c r="AQ59" s="8"/>
      <c r="AW59" s="8"/>
    </row>
    <row r="60" spans="24:49" ht="15.75" x14ac:dyDescent="0.25">
      <c r="X60">
        <v>3.58</v>
      </c>
      <c r="Y60">
        <v>28.1</v>
      </c>
      <c r="Z60">
        <v>198</v>
      </c>
      <c r="AA60" s="2">
        <v>1444</v>
      </c>
      <c r="AC60" s="16" t="s">
        <v>57</v>
      </c>
      <c r="AF60" s="2">
        <v>1444</v>
      </c>
      <c r="AG60">
        <v>16.7</v>
      </c>
      <c r="AH60">
        <v>5.6</v>
      </c>
      <c r="AI60">
        <v>22.2</v>
      </c>
      <c r="AJ60">
        <v>0</v>
      </c>
      <c r="AK60" t="s">
        <v>32</v>
      </c>
      <c r="AL60" s="7"/>
      <c r="AM60" s="3"/>
      <c r="AN60" s="3"/>
      <c r="AO60" s="2"/>
      <c r="AP60" s="8"/>
      <c r="AQ60" s="8"/>
      <c r="AW60" s="8"/>
    </row>
    <row r="61" spans="24:49" ht="15.75" x14ac:dyDescent="0.25">
      <c r="X61">
        <v>4.93</v>
      </c>
      <c r="Y61">
        <v>13.6</v>
      </c>
      <c r="Z61">
        <v>112</v>
      </c>
      <c r="AA61" s="2">
        <v>1345</v>
      </c>
      <c r="AC61" s="16" t="s">
        <v>58</v>
      </c>
      <c r="AF61" s="2">
        <v>1345</v>
      </c>
      <c r="AG61">
        <v>0.7</v>
      </c>
      <c r="AH61">
        <v>0</v>
      </c>
      <c r="AI61">
        <v>1.4</v>
      </c>
      <c r="AJ61">
        <v>0</v>
      </c>
      <c r="AK61" t="s">
        <v>35</v>
      </c>
      <c r="AL61" s="7"/>
      <c r="AM61" s="3"/>
      <c r="AN61" s="3"/>
      <c r="AO61" s="2"/>
      <c r="AP61" s="8"/>
      <c r="AQ61" s="8"/>
      <c r="AW61" s="8"/>
    </row>
    <row r="62" spans="24:49" ht="15.75" x14ac:dyDescent="0.25">
      <c r="X62">
        <v>5.77</v>
      </c>
      <c r="Y62">
        <v>17.5</v>
      </c>
      <c r="Z62">
        <v>128</v>
      </c>
      <c r="AA62" s="11">
        <v>1690</v>
      </c>
      <c r="AC62" s="16" t="s">
        <v>58</v>
      </c>
      <c r="AF62" s="11">
        <v>1690</v>
      </c>
      <c r="AG62">
        <v>0</v>
      </c>
      <c r="AH62">
        <v>0</v>
      </c>
      <c r="AI62">
        <v>0</v>
      </c>
      <c r="AJ62">
        <v>0</v>
      </c>
      <c r="AK62" t="s">
        <v>34</v>
      </c>
      <c r="AL62" s="7"/>
      <c r="AM62" s="3"/>
      <c r="AN62" s="3"/>
      <c r="AO62" s="12"/>
      <c r="AP62" s="8"/>
      <c r="AQ62" s="8"/>
      <c r="AW62" s="8"/>
    </row>
    <row r="63" spans="24:49" ht="15.75" x14ac:dyDescent="0.25">
      <c r="X63">
        <v>10.6</v>
      </c>
      <c r="Y63">
        <v>35.299999999999997</v>
      </c>
      <c r="Z63">
        <v>232</v>
      </c>
      <c r="AA63" s="2">
        <v>1288</v>
      </c>
      <c r="AC63" s="16" t="s">
        <v>59</v>
      </c>
      <c r="AF63" s="2">
        <v>1288</v>
      </c>
      <c r="AG63">
        <v>0</v>
      </c>
      <c r="AH63">
        <v>0</v>
      </c>
      <c r="AI63">
        <v>0</v>
      </c>
      <c r="AJ63">
        <v>0</v>
      </c>
      <c r="AK63" t="s">
        <v>32</v>
      </c>
      <c r="AL63" s="7"/>
      <c r="AM63" s="3"/>
      <c r="AN63" s="3"/>
      <c r="AO63" s="2"/>
      <c r="AP63" s="8"/>
      <c r="AQ63" s="8"/>
      <c r="AW63" s="8"/>
    </row>
    <row r="64" spans="24:49" ht="15.75" x14ac:dyDescent="0.25">
      <c r="X64">
        <v>30.3</v>
      </c>
      <c r="Y64">
        <v>54.9</v>
      </c>
      <c r="Z64">
        <v>298</v>
      </c>
      <c r="AA64" s="2">
        <v>1281</v>
      </c>
      <c r="AC64" s="16" t="s">
        <v>60</v>
      </c>
      <c r="AF64" s="2">
        <v>1281</v>
      </c>
      <c r="AG64">
        <v>25.7</v>
      </c>
      <c r="AH64">
        <v>0.7</v>
      </c>
      <c r="AI64">
        <v>22.2</v>
      </c>
      <c r="AJ64">
        <v>0</v>
      </c>
      <c r="AK64" t="s">
        <v>32</v>
      </c>
      <c r="AL64" s="7"/>
      <c r="AM64" s="3"/>
      <c r="AN64" s="3"/>
      <c r="AO64" s="2"/>
      <c r="AP64" s="8"/>
      <c r="AQ64" s="8"/>
      <c r="AW64" s="8"/>
    </row>
    <row r="66" spans="24:29" x14ac:dyDescent="0.25">
      <c r="X66" s="15">
        <f>AVERAGE(X41:X64)</f>
        <v>14.118888888888893</v>
      </c>
      <c r="Y66" s="15">
        <f t="shared" ref="Y66:Z66" si="33">AVERAGE(Y41:Y64)</f>
        <v>24.783333333333335</v>
      </c>
      <c r="Z66" s="15">
        <f t="shared" si="33"/>
        <v>227.44444444444446</v>
      </c>
    </row>
    <row r="67" spans="24:29" x14ac:dyDescent="0.25">
      <c r="X67">
        <f>COUNT(X41:X64)</f>
        <v>18</v>
      </c>
      <c r="Y67">
        <f t="shared" ref="Y67:Z67" si="34">COUNT(Y41:Y64)</f>
        <v>18</v>
      </c>
      <c r="Z67">
        <f t="shared" si="34"/>
        <v>18</v>
      </c>
    </row>
    <row r="70" spans="24:29" x14ac:dyDescent="0.25">
      <c r="X70" s="14"/>
      <c r="Y70" s="14"/>
      <c r="Z70" s="14"/>
    </row>
    <row r="71" spans="24:29" x14ac:dyDescent="0.25">
      <c r="X71" s="14"/>
      <c r="Y71" s="14"/>
      <c r="Z71" s="14"/>
    </row>
    <row r="72" spans="24:29" x14ac:dyDescent="0.25">
      <c r="X72" s="14"/>
      <c r="Y72" s="14"/>
      <c r="Z72" s="14"/>
    </row>
    <row r="73" spans="24:29" x14ac:dyDescent="0.25">
      <c r="Z73" t="s">
        <v>71</v>
      </c>
      <c r="AA73" t="s">
        <v>69</v>
      </c>
      <c r="AB73" t="s">
        <v>70</v>
      </c>
      <c r="AC73" t="s">
        <v>72</v>
      </c>
    </row>
    <row r="75" spans="24:29" x14ac:dyDescent="0.25">
      <c r="Y75" t="s">
        <v>0</v>
      </c>
      <c r="Z75">
        <v>15.9</v>
      </c>
      <c r="AA75">
        <v>13.8</v>
      </c>
      <c r="AB75">
        <v>16.8</v>
      </c>
      <c r="AC75">
        <v>11.2</v>
      </c>
    </row>
    <row r="76" spans="24:29" x14ac:dyDescent="0.25">
      <c r="Y76" t="s">
        <v>1</v>
      </c>
      <c r="Z76">
        <v>22.3</v>
      </c>
      <c r="AA76">
        <v>22</v>
      </c>
      <c r="AB76">
        <v>28</v>
      </c>
      <c r="AC76">
        <v>17.5</v>
      </c>
    </row>
    <row r="77" spans="24:29" x14ac:dyDescent="0.25">
      <c r="Y77" t="s">
        <v>2</v>
      </c>
      <c r="Z77">
        <v>225.4</v>
      </c>
      <c r="AA77">
        <v>192.7</v>
      </c>
      <c r="AB77">
        <v>264.2</v>
      </c>
      <c r="AC77">
        <v>168.9</v>
      </c>
    </row>
    <row r="88" spans="29:32" x14ac:dyDescent="0.25">
      <c r="AC88" t="s">
        <v>69</v>
      </c>
      <c r="AD88" t="s">
        <v>70</v>
      </c>
      <c r="AE88" t="s">
        <v>71</v>
      </c>
      <c r="AF88" t="s">
        <v>72</v>
      </c>
    </row>
    <row r="89" spans="29:32" x14ac:dyDescent="0.25">
      <c r="AC89">
        <v>23</v>
      </c>
      <c r="AD89">
        <v>26</v>
      </c>
      <c r="AE89">
        <v>30</v>
      </c>
      <c r="AF89">
        <v>26</v>
      </c>
    </row>
    <row r="90" spans="29:32" x14ac:dyDescent="0.25">
      <c r="AC90">
        <v>13</v>
      </c>
      <c r="AD90">
        <v>14</v>
      </c>
      <c r="AE90">
        <v>14</v>
      </c>
      <c r="AF90">
        <v>21</v>
      </c>
    </row>
    <row r="91" spans="29:32" x14ac:dyDescent="0.25">
      <c r="AC91">
        <v>751</v>
      </c>
      <c r="AD91">
        <v>865</v>
      </c>
      <c r="AE91">
        <v>774</v>
      </c>
      <c r="AF91">
        <v>680</v>
      </c>
    </row>
    <row r="92" spans="29:32" x14ac:dyDescent="0.25">
      <c r="AC92">
        <v>235</v>
      </c>
      <c r="AD92">
        <v>296</v>
      </c>
      <c r="AE92">
        <v>255</v>
      </c>
      <c r="AF92">
        <v>204</v>
      </c>
    </row>
    <row r="93" spans="29:32" x14ac:dyDescent="0.25">
      <c r="AC93">
        <v>3474</v>
      </c>
      <c r="AD93">
        <v>4393</v>
      </c>
      <c r="AE93">
        <v>3822</v>
      </c>
      <c r="AF93">
        <v>2991</v>
      </c>
    </row>
    <row r="94" spans="29:32" x14ac:dyDescent="0.25">
      <c r="AC94">
        <v>43</v>
      </c>
      <c r="AD94">
        <v>43</v>
      </c>
      <c r="AE94">
        <v>40</v>
      </c>
      <c r="AF94">
        <v>36</v>
      </c>
    </row>
    <row r="95" spans="29:32" x14ac:dyDescent="0.25">
      <c r="AC95">
        <v>26</v>
      </c>
      <c r="AD95">
        <v>27</v>
      </c>
      <c r="AE95">
        <v>25</v>
      </c>
      <c r="AF95">
        <v>22</v>
      </c>
    </row>
    <row r="96" spans="29:32" x14ac:dyDescent="0.25">
      <c r="AC96">
        <v>4792</v>
      </c>
      <c r="AD96">
        <v>4903</v>
      </c>
      <c r="AE96">
        <v>5508</v>
      </c>
      <c r="AF96">
        <v>4940</v>
      </c>
    </row>
    <row r="97" spans="29:32" x14ac:dyDescent="0.25">
      <c r="AC97">
        <v>960</v>
      </c>
      <c r="AD97">
        <v>1133</v>
      </c>
      <c r="AE97">
        <v>1061</v>
      </c>
      <c r="AF97">
        <v>960</v>
      </c>
    </row>
    <row r="98" spans="29:32" x14ac:dyDescent="0.25">
      <c r="AC98">
        <v>28</v>
      </c>
      <c r="AD98">
        <v>26</v>
      </c>
      <c r="AE98">
        <v>27</v>
      </c>
      <c r="AF98">
        <v>26</v>
      </c>
    </row>
    <row r="99" spans="29:32" x14ac:dyDescent="0.25">
      <c r="AC99">
        <v>588</v>
      </c>
      <c r="AD99">
        <v>487</v>
      </c>
      <c r="AE99">
        <v>645</v>
      </c>
      <c r="AF99">
        <v>604</v>
      </c>
    </row>
    <row r="101" spans="29:32" x14ac:dyDescent="0.25">
      <c r="AC101">
        <v>10933</v>
      </c>
      <c r="AD101">
        <v>12213</v>
      </c>
      <c r="AE101">
        <v>12201</v>
      </c>
      <c r="AF101">
        <v>10510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Gibbs</dc:creator>
  <cp:lastModifiedBy>Andrew Gibbs</cp:lastModifiedBy>
  <dcterms:created xsi:type="dcterms:W3CDTF">2025-02-27T03:16:33Z</dcterms:created>
  <dcterms:modified xsi:type="dcterms:W3CDTF">2025-03-15T07:45:59Z</dcterms:modified>
</cp:coreProperties>
</file>