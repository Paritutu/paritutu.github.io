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uis - Copy\"/>
    </mc:Choice>
  </mc:AlternateContent>
  <xr:revisionPtr revIDLastSave="0" documentId="13_ncr:1_{5FC6A0FE-8C81-428E-8CEF-7644F441792F}" xr6:coauthVersionLast="47" xr6:coauthVersionMax="47" xr10:uidLastSave="{00000000-0000-0000-0000-000000000000}"/>
  <bookViews>
    <workbookView xWindow="-120" yWindow="-120" windowWidth="29040" windowHeight="15720" xr2:uid="{E923D9D7-1104-4C3C-B3EF-B4E60E906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G33" i="1"/>
  <c r="F33" i="1"/>
  <c r="H32" i="1"/>
  <c r="G32" i="1"/>
  <c r="F32" i="1"/>
  <c r="I32" i="1"/>
  <c r="I33" i="1"/>
  <c r="I30" i="1"/>
  <c r="I29" i="1"/>
  <c r="I25" i="1"/>
  <c r="I24" i="1"/>
</calcChain>
</file>

<file path=xl/sharedStrings.xml><?xml version="1.0" encoding="utf-8"?>
<sst xmlns="http://schemas.openxmlformats.org/spreadsheetml/2006/main" count="171" uniqueCount="77">
  <si>
    <t>IWD M (n141)</t>
  </si>
  <si>
    <t>IWD F (n43)</t>
  </si>
  <si>
    <t>IWD M (n60)</t>
  </si>
  <si>
    <t>NZFS (n39)</t>
  </si>
  <si>
    <t>n60</t>
  </si>
  <si>
    <t>n141</t>
  </si>
  <si>
    <t>n39</t>
  </si>
  <si>
    <t xml:space="preserve"> n43</t>
  </si>
  <si>
    <t>IWD syn</t>
  </si>
  <si>
    <t>IWD M</t>
  </si>
  <si>
    <t>IWD F</t>
  </si>
  <si>
    <t>NZFS</t>
  </si>
  <si>
    <t>% poultry</t>
  </si>
  <si>
    <t>Consumed local fish/shellfish?</t>
  </si>
  <si>
    <t>ID No.</t>
  </si>
  <si>
    <t>Address</t>
  </si>
  <si>
    <t>Phase</t>
  </si>
  <si>
    <t>Yrs resident</t>
  </si>
  <si>
    <t>Gender</t>
  </si>
  <si>
    <t>ethnic</t>
  </si>
  <si>
    <t>% Exposed produce</t>
  </si>
  <si>
    <t>% protected produce</t>
  </si>
  <si>
    <t>% root Vegies</t>
  </si>
  <si>
    <t>yes</t>
  </si>
  <si>
    <t>21 Scott St</t>
  </si>
  <si>
    <t>1938-2003</t>
  </si>
  <si>
    <t>Euro</t>
  </si>
  <si>
    <t>31 Ngamotu Rd</t>
  </si>
  <si>
    <t>1952-1974</t>
  </si>
  <si>
    <t>yesyes</t>
  </si>
  <si>
    <t>15 Paritutu Rd</t>
  </si>
  <si>
    <t>1952-2003</t>
  </si>
  <si>
    <t>21 Paritutu Rd</t>
  </si>
  <si>
    <t>1953-2002</t>
  </si>
  <si>
    <t>1954-1975</t>
  </si>
  <si>
    <t>1954-2003</t>
  </si>
  <si>
    <t>Maori</t>
  </si>
  <si>
    <t>no</t>
  </si>
  <si>
    <t>19 Scott St</t>
  </si>
  <si>
    <t>1960-1996</t>
  </si>
  <si>
    <t>35 Simons St</t>
  </si>
  <si>
    <t>1960-2003</t>
  </si>
  <si>
    <t>36 Paritutu Rd</t>
  </si>
  <si>
    <t>19 Marama Cr</t>
  </si>
  <si>
    <t>1965-1972</t>
  </si>
  <si>
    <t>unsure</t>
  </si>
  <si>
    <t>4 Tumai st</t>
  </si>
  <si>
    <t>1965-2003</t>
  </si>
  <si>
    <t>31 Marama Cr</t>
  </si>
  <si>
    <t>1966-1990</t>
  </si>
  <si>
    <t>34 Ngamotu Rd</t>
  </si>
  <si>
    <t>1967-1974</t>
  </si>
  <si>
    <t>29 Findlay st</t>
  </si>
  <si>
    <t>29 Findlay St</t>
  </si>
  <si>
    <t>23 Ngamotu Rd</t>
  </si>
  <si>
    <t>1970-1973</t>
  </si>
  <si>
    <t>1967-1986</t>
  </si>
  <si>
    <t>1967-2003</t>
  </si>
  <si>
    <t>38 Simons St</t>
  </si>
  <si>
    <t>40 Marama Cr</t>
  </si>
  <si>
    <t>1968-1974</t>
  </si>
  <si>
    <t>Euro/Maori</t>
  </si>
  <si>
    <t>17 Simons St</t>
  </si>
  <si>
    <t>1968-1981</t>
  </si>
  <si>
    <t>27 Paritutu Rd</t>
  </si>
  <si>
    <t>1968-1990</t>
  </si>
  <si>
    <t>39 Marama Cr</t>
  </si>
  <si>
    <t>1970-1975</t>
  </si>
  <si>
    <t>37 Marama Cr</t>
  </si>
  <si>
    <t>48 Marama Cr</t>
  </si>
  <si>
    <t>1971-1977</t>
  </si>
  <si>
    <t>Poultry</t>
  </si>
  <si>
    <t>Fish</t>
  </si>
  <si>
    <t>Nil</t>
  </si>
  <si>
    <t>1966-68 Ngamotu Bch Coolstores end</t>
  </si>
  <si>
    <t>1968-71</t>
  </si>
  <si>
    <t>PCP/24-D?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</si>
</sst>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95249</xdr:colOff>
      <xdr:row>36</xdr:row>
      <xdr:rowOff>57150</xdr:rowOff>
    </xdr:from>
    <xdr:to>
      <xdr:col>22</xdr:col>
      <xdr:colOff>47624</xdr:colOff>
      <xdr:row>52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5DD18D-88FC-4D73-A1D2-8D59D6873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6915150"/>
          <a:ext cx="6657975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D4A1-1793-4708-9C60-518B80293AB4}">
  <dimension ref="B2:W49"/>
  <sheetViews>
    <sheetView tabSelected="1" zoomScale="70" zoomScaleNormal="70" workbookViewId="0">
      <selection activeCell="D34" sqref="D34"/>
    </sheetView>
  </sheetViews>
  <sheetFormatPr defaultRowHeight="15" x14ac:dyDescent="0.25"/>
  <sheetData>
    <row r="2" spans="4:23" x14ac:dyDescent="0.25">
      <c r="D2" t="s">
        <v>12</v>
      </c>
      <c r="E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12</v>
      </c>
      <c r="V2" t="s">
        <v>13</v>
      </c>
    </row>
    <row r="3" spans="4:23" x14ac:dyDescent="0.25">
      <c r="D3">
        <v>50</v>
      </c>
      <c r="E3" t="s">
        <v>23</v>
      </c>
      <c r="F3">
        <v>22278.99</v>
      </c>
      <c r="K3">
        <v>22278.99</v>
      </c>
      <c r="L3">
        <v>1145</v>
      </c>
      <c r="M3" t="s">
        <v>24</v>
      </c>
      <c r="N3">
        <v>2</v>
      </c>
      <c r="O3" t="s">
        <v>25</v>
      </c>
      <c r="P3">
        <v>1</v>
      </c>
      <c r="Q3" t="s">
        <v>26</v>
      </c>
      <c r="R3">
        <v>11.1</v>
      </c>
      <c r="S3">
        <v>0</v>
      </c>
      <c r="T3">
        <v>22.2</v>
      </c>
      <c r="U3">
        <v>50</v>
      </c>
      <c r="V3" t="s">
        <v>23</v>
      </c>
    </row>
    <row r="4" spans="4:23" x14ac:dyDescent="0.25">
      <c r="D4">
        <v>50</v>
      </c>
      <c r="E4" t="s">
        <v>23</v>
      </c>
      <c r="L4" s="1">
        <v>1728</v>
      </c>
      <c r="M4" s="1" t="s">
        <v>27</v>
      </c>
      <c r="N4">
        <v>2</v>
      </c>
      <c r="O4" t="s">
        <v>28</v>
      </c>
      <c r="P4">
        <v>1</v>
      </c>
      <c r="Q4" t="s">
        <v>26</v>
      </c>
      <c r="R4">
        <v>27.8</v>
      </c>
      <c r="S4">
        <v>5.6</v>
      </c>
      <c r="T4">
        <v>5.6</v>
      </c>
      <c r="U4">
        <v>50</v>
      </c>
      <c r="V4" t="s">
        <v>23</v>
      </c>
    </row>
    <row r="5" spans="4:23" x14ac:dyDescent="0.25">
      <c r="D5">
        <v>0</v>
      </c>
      <c r="E5" t="s">
        <v>29</v>
      </c>
      <c r="G5">
        <v>16501.02</v>
      </c>
      <c r="K5">
        <v>16501.02</v>
      </c>
      <c r="L5">
        <v>1154</v>
      </c>
      <c r="M5" t="s">
        <v>30</v>
      </c>
      <c r="N5">
        <v>2</v>
      </c>
      <c r="O5" t="s">
        <v>31</v>
      </c>
      <c r="P5">
        <v>2</v>
      </c>
      <c r="Q5" t="s">
        <v>26</v>
      </c>
      <c r="R5">
        <v>22.2</v>
      </c>
      <c r="S5">
        <v>16.7</v>
      </c>
      <c r="T5">
        <v>22.2</v>
      </c>
      <c r="U5">
        <v>0</v>
      </c>
      <c r="V5" t="s">
        <v>29</v>
      </c>
    </row>
    <row r="6" spans="4:23" x14ac:dyDescent="0.25">
      <c r="D6">
        <v>0</v>
      </c>
      <c r="E6" t="s">
        <v>29</v>
      </c>
      <c r="G6">
        <v>28288.19</v>
      </c>
      <c r="K6">
        <v>28288.19</v>
      </c>
      <c r="L6">
        <v>1155</v>
      </c>
      <c r="M6" t="s">
        <v>30</v>
      </c>
      <c r="N6">
        <v>2</v>
      </c>
      <c r="O6" t="s">
        <v>31</v>
      </c>
      <c r="P6">
        <v>1</v>
      </c>
      <c r="Q6" t="s">
        <v>26</v>
      </c>
      <c r="R6">
        <v>16.7</v>
      </c>
      <c r="S6">
        <v>5.6</v>
      </c>
      <c r="T6">
        <v>22.2</v>
      </c>
      <c r="U6">
        <v>0</v>
      </c>
      <c r="V6" t="s">
        <v>29</v>
      </c>
    </row>
    <row r="7" spans="4:23" x14ac:dyDescent="0.25">
      <c r="D7">
        <v>25</v>
      </c>
      <c r="E7" t="s">
        <v>23</v>
      </c>
      <c r="L7">
        <v>1360</v>
      </c>
      <c r="M7" t="s">
        <v>32</v>
      </c>
      <c r="N7">
        <v>3</v>
      </c>
      <c r="O7" t="s">
        <v>33</v>
      </c>
      <c r="P7">
        <v>2</v>
      </c>
      <c r="Q7" t="s">
        <v>26</v>
      </c>
      <c r="R7">
        <v>13.9</v>
      </c>
      <c r="S7">
        <v>8.3000000000000007</v>
      </c>
      <c r="T7">
        <v>22.2</v>
      </c>
      <c r="U7">
        <v>25</v>
      </c>
      <c r="V7" t="s">
        <v>23</v>
      </c>
    </row>
    <row r="8" spans="4:23" x14ac:dyDescent="0.25">
      <c r="D8">
        <v>0</v>
      </c>
      <c r="E8" t="s">
        <v>23</v>
      </c>
      <c r="L8" s="1">
        <v>1511</v>
      </c>
      <c r="M8" s="1" t="s">
        <v>30</v>
      </c>
      <c r="N8">
        <v>2</v>
      </c>
      <c r="O8" t="s">
        <v>34</v>
      </c>
      <c r="P8">
        <v>1</v>
      </c>
      <c r="Q8" t="s">
        <v>26</v>
      </c>
      <c r="R8">
        <v>22.2</v>
      </c>
      <c r="S8">
        <v>5.6</v>
      </c>
      <c r="T8">
        <v>11.1</v>
      </c>
      <c r="U8">
        <v>0</v>
      </c>
      <c r="V8" t="s">
        <v>23</v>
      </c>
    </row>
    <row r="9" spans="4:23" x14ac:dyDescent="0.25">
      <c r="D9">
        <v>50</v>
      </c>
      <c r="E9" t="s">
        <v>23</v>
      </c>
      <c r="F9">
        <v>13117.429999999998</v>
      </c>
      <c r="K9">
        <v>13117.429999999998</v>
      </c>
      <c r="L9">
        <v>1614</v>
      </c>
      <c r="M9" t="s">
        <v>27</v>
      </c>
      <c r="N9">
        <v>2</v>
      </c>
      <c r="O9" t="s">
        <v>35</v>
      </c>
      <c r="P9">
        <v>1</v>
      </c>
      <c r="Q9" t="s">
        <v>36</v>
      </c>
      <c r="R9">
        <v>27.8</v>
      </c>
      <c r="S9">
        <v>5.6</v>
      </c>
      <c r="T9">
        <v>11.1</v>
      </c>
      <c r="U9">
        <v>50</v>
      </c>
      <c r="V9" t="s">
        <v>23</v>
      </c>
    </row>
    <row r="10" spans="4:23" x14ac:dyDescent="0.25">
      <c r="D10">
        <v>0</v>
      </c>
      <c r="E10" t="s">
        <v>37</v>
      </c>
      <c r="H10">
        <v>10954.335000000001</v>
      </c>
      <c r="K10">
        <v>10954.335000000001</v>
      </c>
      <c r="L10">
        <v>1491</v>
      </c>
      <c r="M10" t="s">
        <v>38</v>
      </c>
      <c r="N10">
        <v>2</v>
      </c>
      <c r="O10" t="s">
        <v>39</v>
      </c>
      <c r="P10">
        <v>1</v>
      </c>
      <c r="Q10" t="s">
        <v>26</v>
      </c>
      <c r="R10">
        <v>22.2</v>
      </c>
      <c r="S10">
        <v>11.1</v>
      </c>
      <c r="T10">
        <v>11.1</v>
      </c>
      <c r="U10">
        <v>0</v>
      </c>
      <c r="V10" t="s">
        <v>37</v>
      </c>
    </row>
    <row r="11" spans="4:23" x14ac:dyDescent="0.25">
      <c r="D11">
        <v>0</v>
      </c>
      <c r="E11" t="s">
        <v>23</v>
      </c>
      <c r="G11">
        <v>31119.954999999998</v>
      </c>
      <c r="K11">
        <v>31119.954999999998</v>
      </c>
      <c r="L11">
        <v>1136</v>
      </c>
      <c r="M11" t="s">
        <v>40</v>
      </c>
      <c r="N11">
        <v>2</v>
      </c>
      <c r="O11" t="s">
        <v>41</v>
      </c>
      <c r="P11">
        <v>2</v>
      </c>
      <c r="Q11" t="s">
        <v>26</v>
      </c>
      <c r="R11">
        <v>11.1</v>
      </c>
      <c r="S11">
        <v>5.6</v>
      </c>
      <c r="T11">
        <v>22.2</v>
      </c>
      <c r="U11">
        <v>0</v>
      </c>
      <c r="V11" t="s">
        <v>23</v>
      </c>
    </row>
    <row r="12" spans="4:23" x14ac:dyDescent="0.25">
      <c r="D12">
        <v>0</v>
      </c>
      <c r="E12" t="s">
        <v>23</v>
      </c>
      <c r="G12">
        <v>30463.474999999999</v>
      </c>
      <c r="K12">
        <v>30463.474999999999</v>
      </c>
      <c r="L12">
        <v>1434</v>
      </c>
      <c r="M12" t="s">
        <v>42</v>
      </c>
      <c r="N12">
        <v>2</v>
      </c>
      <c r="O12" t="s">
        <v>41</v>
      </c>
      <c r="P12">
        <v>2</v>
      </c>
      <c r="Q12" t="s">
        <v>26</v>
      </c>
      <c r="R12">
        <v>22.2</v>
      </c>
      <c r="S12">
        <v>16.7</v>
      </c>
      <c r="T12">
        <v>11.1</v>
      </c>
      <c r="U12">
        <v>0</v>
      </c>
      <c r="V12" t="s">
        <v>23</v>
      </c>
    </row>
    <row r="13" spans="4:23" x14ac:dyDescent="0.25">
      <c r="D13">
        <v>50</v>
      </c>
      <c r="E13" t="s">
        <v>23</v>
      </c>
      <c r="F13">
        <v>20026.34</v>
      </c>
      <c r="K13">
        <v>20026.34</v>
      </c>
      <c r="L13">
        <v>1023</v>
      </c>
      <c r="M13" t="s">
        <v>43</v>
      </c>
      <c r="N13">
        <v>2</v>
      </c>
      <c r="O13" t="s">
        <v>44</v>
      </c>
      <c r="P13">
        <v>1</v>
      </c>
      <c r="Q13" t="s">
        <v>26</v>
      </c>
      <c r="R13">
        <v>0</v>
      </c>
      <c r="S13">
        <v>0</v>
      </c>
      <c r="T13">
        <v>0</v>
      </c>
      <c r="U13">
        <v>50</v>
      </c>
      <c r="V13" t="s">
        <v>23</v>
      </c>
    </row>
    <row r="14" spans="4:23" x14ac:dyDescent="0.25">
      <c r="D14">
        <v>0</v>
      </c>
      <c r="E14" t="s">
        <v>45</v>
      </c>
      <c r="H14">
        <v>12260.04</v>
      </c>
      <c r="K14">
        <v>12260.04</v>
      </c>
      <c r="L14">
        <v>1261</v>
      </c>
      <c r="M14" t="s">
        <v>46</v>
      </c>
      <c r="N14">
        <v>2</v>
      </c>
      <c r="O14" t="s">
        <v>47</v>
      </c>
      <c r="P14">
        <v>2</v>
      </c>
      <c r="Q14" t="s">
        <v>26</v>
      </c>
      <c r="R14">
        <v>9</v>
      </c>
      <c r="S14">
        <v>3.5</v>
      </c>
      <c r="T14">
        <v>11.1</v>
      </c>
      <c r="U14">
        <v>0</v>
      </c>
      <c r="V14" t="s">
        <v>45</v>
      </c>
    </row>
    <row r="15" spans="4:23" x14ac:dyDescent="0.25">
      <c r="D15">
        <v>0</v>
      </c>
      <c r="E15" t="s">
        <v>37</v>
      </c>
      <c r="H15">
        <v>13658.424999999999</v>
      </c>
      <c r="K15">
        <v>13658.424999999999</v>
      </c>
      <c r="L15">
        <v>1046</v>
      </c>
      <c r="M15" t="s">
        <v>48</v>
      </c>
      <c r="N15">
        <v>2</v>
      </c>
      <c r="O15" t="s">
        <v>49</v>
      </c>
      <c r="P15">
        <v>2</v>
      </c>
      <c r="Q15" t="s">
        <v>26</v>
      </c>
      <c r="R15">
        <v>16.7</v>
      </c>
      <c r="S15">
        <v>0</v>
      </c>
      <c r="T15">
        <v>16.7</v>
      </c>
      <c r="U15">
        <v>0</v>
      </c>
      <c r="V15" t="s">
        <v>37</v>
      </c>
    </row>
    <row r="16" spans="4:23" x14ac:dyDescent="0.25">
      <c r="D16">
        <v>0</v>
      </c>
      <c r="E16" t="s">
        <v>23</v>
      </c>
      <c r="G16">
        <v>29524.780000000002</v>
      </c>
      <c r="K16">
        <v>29524.780000000002</v>
      </c>
      <c r="L16">
        <v>1134</v>
      </c>
      <c r="M16" t="s">
        <v>54</v>
      </c>
      <c r="N16">
        <v>2</v>
      </c>
      <c r="O16" t="s">
        <v>55</v>
      </c>
      <c r="P16">
        <v>1</v>
      </c>
      <c r="Q16" t="s">
        <v>26</v>
      </c>
      <c r="R16">
        <v>15.3</v>
      </c>
      <c r="S16">
        <v>0</v>
      </c>
      <c r="T16">
        <v>22.2</v>
      </c>
      <c r="U16">
        <v>0</v>
      </c>
      <c r="V16" t="s">
        <v>23</v>
      </c>
      <c r="W16" t="s">
        <v>74</v>
      </c>
    </row>
    <row r="17" spans="2:22" x14ac:dyDescent="0.25">
      <c r="D17">
        <v>0</v>
      </c>
      <c r="E17" t="s">
        <v>23</v>
      </c>
      <c r="L17" s="1">
        <v>1039</v>
      </c>
      <c r="M17" s="1" t="s">
        <v>50</v>
      </c>
      <c r="N17">
        <v>2</v>
      </c>
      <c r="O17" t="s">
        <v>51</v>
      </c>
      <c r="P17">
        <v>1</v>
      </c>
      <c r="Q17" t="s">
        <v>26</v>
      </c>
      <c r="R17">
        <v>18.100000000000001</v>
      </c>
      <c r="S17">
        <v>12.5</v>
      </c>
      <c r="T17">
        <v>22.2</v>
      </c>
      <c r="U17">
        <v>0</v>
      </c>
      <c r="V17" t="s">
        <v>23</v>
      </c>
    </row>
    <row r="18" spans="2:22" x14ac:dyDescent="0.25">
      <c r="D18">
        <v>0</v>
      </c>
      <c r="E18" t="s">
        <v>23</v>
      </c>
      <c r="L18" s="1">
        <v>1058</v>
      </c>
      <c r="M18" s="1" t="s">
        <v>52</v>
      </c>
      <c r="N18">
        <v>2</v>
      </c>
      <c r="O18" t="s">
        <v>51</v>
      </c>
      <c r="P18">
        <v>2</v>
      </c>
      <c r="Q18" t="s">
        <v>26</v>
      </c>
      <c r="R18">
        <v>11.1</v>
      </c>
      <c r="S18">
        <v>5.6</v>
      </c>
      <c r="T18">
        <v>11.1</v>
      </c>
      <c r="U18">
        <v>0</v>
      </c>
      <c r="V18" t="s">
        <v>23</v>
      </c>
    </row>
    <row r="19" spans="2:22" x14ac:dyDescent="0.25">
      <c r="D19">
        <v>0</v>
      </c>
      <c r="E19" t="s">
        <v>23</v>
      </c>
      <c r="L19" s="1">
        <v>1059</v>
      </c>
      <c r="M19" s="1" t="s">
        <v>53</v>
      </c>
      <c r="N19">
        <v>2</v>
      </c>
      <c r="O19" t="s">
        <v>51</v>
      </c>
      <c r="P19">
        <v>1</v>
      </c>
      <c r="Q19" t="s">
        <v>26</v>
      </c>
      <c r="R19">
        <v>16.7</v>
      </c>
      <c r="S19">
        <v>11.1</v>
      </c>
      <c r="T19">
        <v>11.1</v>
      </c>
      <c r="U19">
        <v>0</v>
      </c>
      <c r="V19" t="s">
        <v>23</v>
      </c>
    </row>
    <row r="20" spans="2:22" x14ac:dyDescent="0.25">
      <c r="D20">
        <v>0</v>
      </c>
      <c r="E20" t="s">
        <v>23</v>
      </c>
      <c r="G20">
        <v>26290.43</v>
      </c>
      <c r="K20">
        <v>26290.43</v>
      </c>
      <c r="L20">
        <v>1057</v>
      </c>
      <c r="M20" t="s">
        <v>53</v>
      </c>
      <c r="N20">
        <v>2</v>
      </c>
      <c r="O20" t="s">
        <v>56</v>
      </c>
      <c r="P20">
        <v>2</v>
      </c>
      <c r="Q20" t="s">
        <v>26</v>
      </c>
      <c r="R20">
        <v>11.8</v>
      </c>
      <c r="S20">
        <v>6.25</v>
      </c>
      <c r="T20">
        <v>0</v>
      </c>
      <c r="U20">
        <v>0</v>
      </c>
      <c r="V20" t="s">
        <v>23</v>
      </c>
    </row>
    <row r="21" spans="2:22" x14ac:dyDescent="0.25">
      <c r="D21">
        <v>50</v>
      </c>
      <c r="E21" t="s">
        <v>23</v>
      </c>
      <c r="F21">
        <v>23173.11</v>
      </c>
      <c r="K21">
        <v>23173.11</v>
      </c>
      <c r="L21">
        <v>1314</v>
      </c>
      <c r="M21" t="s">
        <v>24</v>
      </c>
      <c r="N21">
        <v>2</v>
      </c>
      <c r="O21" t="s">
        <v>57</v>
      </c>
      <c r="P21">
        <v>2</v>
      </c>
      <c r="Q21" t="s">
        <v>26</v>
      </c>
      <c r="R21">
        <v>11.1</v>
      </c>
      <c r="S21">
        <v>0</v>
      </c>
      <c r="T21">
        <v>22.2</v>
      </c>
      <c r="U21">
        <v>50</v>
      </c>
      <c r="V21" t="s">
        <v>23</v>
      </c>
    </row>
    <row r="22" spans="2:22" x14ac:dyDescent="0.25">
      <c r="D22">
        <v>50</v>
      </c>
      <c r="E22" t="s">
        <v>37</v>
      </c>
      <c r="F22">
        <v>20399.97</v>
      </c>
      <c r="K22">
        <v>20399.97</v>
      </c>
      <c r="L22">
        <v>1402</v>
      </c>
      <c r="M22" t="s">
        <v>58</v>
      </c>
      <c r="N22">
        <v>2</v>
      </c>
      <c r="O22" t="s">
        <v>57</v>
      </c>
      <c r="P22">
        <v>1</v>
      </c>
      <c r="Q22" t="s">
        <v>26</v>
      </c>
      <c r="R22">
        <v>22.2</v>
      </c>
      <c r="S22">
        <v>11.1</v>
      </c>
      <c r="T22">
        <v>22.2</v>
      </c>
      <c r="U22">
        <v>50</v>
      </c>
      <c r="V22" t="s">
        <v>37</v>
      </c>
    </row>
    <row r="23" spans="2:22" x14ac:dyDescent="0.25">
      <c r="D23">
        <v>0</v>
      </c>
      <c r="E23" t="s">
        <v>23</v>
      </c>
      <c r="L23">
        <v>1567</v>
      </c>
      <c r="M23" t="s">
        <v>59</v>
      </c>
      <c r="N23">
        <v>3</v>
      </c>
      <c r="O23" t="s">
        <v>60</v>
      </c>
      <c r="P23">
        <v>2</v>
      </c>
      <c r="Q23" t="s">
        <v>61</v>
      </c>
      <c r="R23">
        <v>16.7</v>
      </c>
      <c r="S23">
        <v>5.6</v>
      </c>
      <c r="T23">
        <v>11.1</v>
      </c>
      <c r="U23">
        <v>0</v>
      </c>
      <c r="V23" t="s">
        <v>23</v>
      </c>
    </row>
    <row r="24" spans="2:22" x14ac:dyDescent="0.25">
      <c r="D24">
        <v>0</v>
      </c>
      <c r="E24" t="s">
        <v>23</v>
      </c>
      <c r="I24">
        <f>K24</f>
        <v>7813.3949999999995</v>
      </c>
      <c r="K24">
        <v>7813.3949999999995</v>
      </c>
      <c r="L24">
        <v>1702</v>
      </c>
      <c r="M24" t="s">
        <v>62</v>
      </c>
      <c r="N24">
        <v>2</v>
      </c>
      <c r="O24" t="s">
        <v>63</v>
      </c>
      <c r="P24">
        <v>1</v>
      </c>
      <c r="Q24" t="s">
        <v>26</v>
      </c>
      <c r="R24">
        <v>11.1</v>
      </c>
      <c r="S24">
        <v>0</v>
      </c>
      <c r="T24">
        <v>11.1</v>
      </c>
      <c r="U24">
        <v>0</v>
      </c>
      <c r="V24" t="s">
        <v>23</v>
      </c>
    </row>
    <row r="25" spans="2:22" x14ac:dyDescent="0.25">
      <c r="D25">
        <v>0</v>
      </c>
      <c r="E25" t="s">
        <v>37</v>
      </c>
      <c r="I25">
        <f>K25</f>
        <v>10412.155000000001</v>
      </c>
      <c r="K25">
        <v>10412.155000000001</v>
      </c>
      <c r="L25">
        <v>1030</v>
      </c>
      <c r="M25" t="s">
        <v>64</v>
      </c>
      <c r="N25">
        <v>2</v>
      </c>
      <c r="O25" t="s">
        <v>65</v>
      </c>
      <c r="P25">
        <v>2</v>
      </c>
      <c r="Q25" t="s">
        <v>26</v>
      </c>
      <c r="R25">
        <v>22.2</v>
      </c>
      <c r="S25">
        <v>11.1</v>
      </c>
      <c r="T25">
        <v>22.2</v>
      </c>
      <c r="U25">
        <v>0</v>
      </c>
      <c r="V25" t="s">
        <v>37</v>
      </c>
    </row>
    <row r="26" spans="2:22" x14ac:dyDescent="0.25">
      <c r="D26">
        <v>0</v>
      </c>
      <c r="E26" t="s">
        <v>23</v>
      </c>
      <c r="K26">
        <v>11046.74</v>
      </c>
      <c r="L26">
        <v>1106</v>
      </c>
      <c r="M26" t="s">
        <v>54</v>
      </c>
      <c r="N26">
        <v>2</v>
      </c>
      <c r="O26" t="s">
        <v>55</v>
      </c>
      <c r="P26">
        <v>2</v>
      </c>
      <c r="Q26" t="s">
        <v>26</v>
      </c>
      <c r="R26">
        <v>2.8</v>
      </c>
      <c r="S26">
        <v>0</v>
      </c>
      <c r="T26">
        <v>11.1</v>
      </c>
      <c r="U26">
        <v>0</v>
      </c>
      <c r="V26" t="s">
        <v>23</v>
      </c>
    </row>
    <row r="27" spans="2:22" x14ac:dyDescent="0.25">
      <c r="D27">
        <v>0</v>
      </c>
      <c r="E27" t="s">
        <v>23</v>
      </c>
      <c r="L27">
        <v>1047</v>
      </c>
      <c r="M27" t="s">
        <v>66</v>
      </c>
      <c r="N27">
        <v>3</v>
      </c>
      <c r="O27" t="s">
        <v>67</v>
      </c>
      <c r="P27">
        <v>2</v>
      </c>
      <c r="Q27" t="s">
        <v>26</v>
      </c>
      <c r="R27">
        <v>8.3000000000000007</v>
      </c>
      <c r="S27">
        <v>2.8</v>
      </c>
      <c r="T27">
        <v>16.7</v>
      </c>
      <c r="U27">
        <v>0</v>
      </c>
      <c r="V27" t="s">
        <v>23</v>
      </c>
    </row>
    <row r="28" spans="2:22" x14ac:dyDescent="0.25">
      <c r="D28">
        <v>0</v>
      </c>
      <c r="E28" t="s">
        <v>37</v>
      </c>
      <c r="L28">
        <v>1048</v>
      </c>
      <c r="M28" t="s">
        <v>66</v>
      </c>
      <c r="N28">
        <v>3</v>
      </c>
      <c r="O28" t="s">
        <v>67</v>
      </c>
      <c r="P28">
        <v>1</v>
      </c>
      <c r="Q28" t="s">
        <v>26</v>
      </c>
      <c r="R28">
        <v>11.1</v>
      </c>
      <c r="S28">
        <v>0</v>
      </c>
      <c r="T28">
        <v>11.1</v>
      </c>
      <c r="U28">
        <v>0</v>
      </c>
      <c r="V28" t="s">
        <v>37</v>
      </c>
    </row>
    <row r="29" spans="2:22" x14ac:dyDescent="0.25">
      <c r="B29" t="s">
        <v>76</v>
      </c>
      <c r="D29">
        <v>0</v>
      </c>
      <c r="E29" t="s">
        <v>37</v>
      </c>
      <c r="I29">
        <f>K29</f>
        <v>26587.49</v>
      </c>
      <c r="K29">
        <v>26587.49</v>
      </c>
      <c r="L29">
        <v>1550</v>
      </c>
      <c r="M29" t="s">
        <v>68</v>
      </c>
      <c r="N29">
        <v>2</v>
      </c>
      <c r="O29" t="s">
        <v>67</v>
      </c>
      <c r="P29">
        <v>2</v>
      </c>
      <c r="Q29" t="s">
        <v>26</v>
      </c>
      <c r="R29">
        <v>8.3000000000000007</v>
      </c>
      <c r="S29">
        <v>0</v>
      </c>
      <c r="T29">
        <v>0</v>
      </c>
      <c r="U29">
        <v>0</v>
      </c>
      <c r="V29" t="s">
        <v>37</v>
      </c>
    </row>
    <row r="30" spans="2:22" x14ac:dyDescent="0.25">
      <c r="D30">
        <v>0</v>
      </c>
      <c r="E30" t="s">
        <v>23</v>
      </c>
      <c r="I30">
        <f>K30</f>
        <v>14055.73</v>
      </c>
      <c r="K30">
        <v>14055.73</v>
      </c>
      <c r="L30">
        <v>1627</v>
      </c>
      <c r="M30" t="s">
        <v>69</v>
      </c>
      <c r="N30">
        <v>2</v>
      </c>
      <c r="O30" t="s">
        <v>70</v>
      </c>
      <c r="P30">
        <v>1</v>
      </c>
      <c r="Q30" t="s">
        <v>26</v>
      </c>
      <c r="R30">
        <v>11.1</v>
      </c>
      <c r="S30">
        <v>5.6</v>
      </c>
      <c r="T30">
        <v>11.1</v>
      </c>
      <c r="U30">
        <v>0</v>
      </c>
      <c r="V30" t="s">
        <v>23</v>
      </c>
    </row>
    <row r="31" spans="2:22" x14ac:dyDescent="0.25">
      <c r="F31" t="s">
        <v>71</v>
      </c>
      <c r="G31" t="s">
        <v>72</v>
      </c>
      <c r="H31" t="s">
        <v>73</v>
      </c>
      <c r="I31" t="s">
        <v>75</v>
      </c>
    </row>
    <row r="32" spans="2:22" x14ac:dyDescent="0.25">
      <c r="F32" s="3">
        <f t="shared" ref="F32:H32" si="0">AVERAGE(F3:F30)</f>
        <v>19799.167999999998</v>
      </c>
      <c r="G32" s="3">
        <f t="shared" si="0"/>
        <v>27031.308333333331</v>
      </c>
      <c r="H32" s="3">
        <f t="shared" si="0"/>
        <v>12290.933333333334</v>
      </c>
      <c r="I32" s="3">
        <f>AVERAGE(I3:I30)</f>
        <v>14717.192500000001</v>
      </c>
      <c r="K32" s="2"/>
    </row>
    <row r="33" spans="6:22" x14ac:dyDescent="0.25">
      <c r="F33" s="3">
        <f t="shared" ref="F33:H33" si="1">COUNT(F3:F30)</f>
        <v>5</v>
      </c>
      <c r="G33" s="3">
        <f t="shared" si="1"/>
        <v>6</v>
      </c>
      <c r="H33" s="3">
        <f t="shared" si="1"/>
        <v>3</v>
      </c>
      <c r="I33" s="3">
        <f>COUNT(I3:I30)</f>
        <v>4</v>
      </c>
      <c r="P33" t="s">
        <v>8</v>
      </c>
      <c r="R33" t="s">
        <v>9</v>
      </c>
      <c r="T33" t="s">
        <v>10</v>
      </c>
      <c r="V33" t="s">
        <v>11</v>
      </c>
    </row>
    <row r="34" spans="6:22" x14ac:dyDescent="0.25">
      <c r="P34" t="s">
        <v>4</v>
      </c>
      <c r="R34" t="s">
        <v>5</v>
      </c>
      <c r="T34" t="s">
        <v>7</v>
      </c>
      <c r="V34" t="s">
        <v>6</v>
      </c>
    </row>
    <row r="36" spans="6:22" x14ac:dyDescent="0.25">
      <c r="F36" t="s">
        <v>0</v>
      </c>
      <c r="G36" t="s">
        <v>1</v>
      </c>
      <c r="H36" t="s">
        <v>2</v>
      </c>
      <c r="I36" t="s">
        <v>3</v>
      </c>
    </row>
    <row r="37" spans="6:22" x14ac:dyDescent="0.25">
      <c r="F37">
        <v>23</v>
      </c>
      <c r="G37">
        <v>26</v>
      </c>
      <c r="H37">
        <v>30</v>
      </c>
      <c r="I37">
        <v>26</v>
      </c>
    </row>
    <row r="38" spans="6:22" x14ac:dyDescent="0.25">
      <c r="F38">
        <v>13</v>
      </c>
      <c r="G38">
        <v>14</v>
      </c>
      <c r="H38">
        <v>14</v>
      </c>
      <c r="I38">
        <v>21</v>
      </c>
    </row>
    <row r="39" spans="6:22" x14ac:dyDescent="0.25">
      <c r="F39">
        <v>751</v>
      </c>
      <c r="G39">
        <v>865</v>
      </c>
      <c r="H39">
        <v>774</v>
      </c>
      <c r="I39">
        <v>680</v>
      </c>
    </row>
    <row r="40" spans="6:22" x14ac:dyDescent="0.25">
      <c r="F40">
        <v>235</v>
      </c>
      <c r="G40">
        <v>296</v>
      </c>
      <c r="H40">
        <v>255</v>
      </c>
      <c r="I40">
        <v>204</v>
      </c>
    </row>
    <row r="41" spans="6:22" x14ac:dyDescent="0.25">
      <c r="F41">
        <v>3474</v>
      </c>
      <c r="G41">
        <v>4393</v>
      </c>
      <c r="H41">
        <v>3822</v>
      </c>
      <c r="I41">
        <v>2991</v>
      </c>
    </row>
    <row r="42" spans="6:22" x14ac:dyDescent="0.25">
      <c r="F42">
        <v>43</v>
      </c>
      <c r="G42">
        <v>43</v>
      </c>
      <c r="H42">
        <v>40</v>
      </c>
      <c r="I42">
        <v>36</v>
      </c>
    </row>
    <row r="43" spans="6:22" x14ac:dyDescent="0.25">
      <c r="F43">
        <v>26</v>
      </c>
      <c r="G43">
        <v>27</v>
      </c>
      <c r="H43">
        <v>25</v>
      </c>
      <c r="I43">
        <v>22</v>
      </c>
    </row>
    <row r="44" spans="6:22" x14ac:dyDescent="0.25">
      <c r="F44">
        <v>4792</v>
      </c>
      <c r="G44">
        <v>4903</v>
      </c>
      <c r="H44">
        <v>5508</v>
      </c>
      <c r="I44">
        <v>4940</v>
      </c>
    </row>
    <row r="45" spans="6:22" x14ac:dyDescent="0.25">
      <c r="F45">
        <v>960</v>
      </c>
      <c r="G45">
        <v>1133</v>
      </c>
      <c r="H45">
        <v>1061</v>
      </c>
      <c r="I45">
        <v>960</v>
      </c>
    </row>
    <row r="46" spans="6:22" x14ac:dyDescent="0.25">
      <c r="F46">
        <v>28</v>
      </c>
      <c r="G46">
        <v>26</v>
      </c>
      <c r="H46">
        <v>27</v>
      </c>
      <c r="I46">
        <v>26</v>
      </c>
    </row>
    <row r="47" spans="6:22" x14ac:dyDescent="0.25">
      <c r="F47">
        <v>588</v>
      </c>
      <c r="G47">
        <v>487</v>
      </c>
      <c r="H47">
        <v>645</v>
      </c>
      <c r="I47">
        <v>604</v>
      </c>
    </row>
    <row r="49" spans="6:9" x14ac:dyDescent="0.25">
      <c r="F49" s="3">
        <v>10933</v>
      </c>
      <c r="G49" s="3">
        <v>12213</v>
      </c>
      <c r="H49" s="3">
        <v>12201</v>
      </c>
      <c r="I49" s="3">
        <v>10510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Gibbs</dc:creator>
  <cp:lastModifiedBy>Andrew Gibbs</cp:lastModifiedBy>
  <dcterms:created xsi:type="dcterms:W3CDTF">2025-02-27T05:02:44Z</dcterms:created>
  <dcterms:modified xsi:type="dcterms:W3CDTF">2025-03-15T07:41:15Z</dcterms:modified>
</cp:coreProperties>
</file>