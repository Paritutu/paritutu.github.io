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651515eae5a95b26/Desktop/"/>
    </mc:Choice>
  </mc:AlternateContent>
  <xr:revisionPtr revIDLastSave="0" documentId="8_{504DA5A1-2247-4F13-B87E-E14216A8C56F}" xr6:coauthVersionLast="47" xr6:coauthVersionMax="47" xr10:uidLastSave="{00000000-0000-0000-0000-000000000000}"/>
  <bookViews>
    <workbookView xWindow="-120" yWindow="-120" windowWidth="29040" windowHeight="15720" xr2:uid="{04D7CCB0-0A67-4890-AB2E-486A4541010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X61" i="1" l="1"/>
  <c r="X60" i="1"/>
  <c r="Y34" i="1"/>
  <c r="Y33" i="1"/>
  <c r="Y61" i="1" s="1"/>
  <c r="Y32" i="1"/>
  <c r="Y31" i="1"/>
  <c r="Y30" i="1"/>
  <c r="Y29" i="1"/>
  <c r="Y28" i="1"/>
  <c r="Y27" i="1"/>
  <c r="Y26" i="1"/>
  <c r="X25" i="1"/>
  <c r="X24" i="1"/>
  <c r="X23" i="1"/>
  <c r="X19" i="1"/>
  <c r="X18" i="1"/>
  <c r="X17" i="1"/>
  <c r="X16" i="1"/>
  <c r="X15" i="1"/>
  <c r="X14" i="1"/>
  <c r="X13" i="1"/>
  <c r="X11" i="1"/>
  <c r="X10" i="1"/>
  <c r="X9" i="1"/>
  <c r="X7" i="1"/>
  <c r="Y60" i="1" l="1"/>
</calcChain>
</file>

<file path=xl/sharedStrings.xml><?xml version="1.0" encoding="utf-8"?>
<sst xmlns="http://schemas.openxmlformats.org/spreadsheetml/2006/main" count="182" uniqueCount="75">
  <si>
    <t>Summary of Key Statistics - all Paritutu Dioxin Study Participants</t>
  </si>
  <si>
    <t>ID No.</t>
  </si>
  <si>
    <t>Address</t>
  </si>
  <si>
    <t>Phase</t>
  </si>
  <si>
    <t>Yrs resident</t>
  </si>
  <si>
    <t>Gender</t>
  </si>
  <si>
    <t>ethnic</t>
  </si>
  <si>
    <t>DOB</t>
  </si>
  <si>
    <t>Age in 1997</t>
  </si>
  <si>
    <t>agegroup</t>
  </si>
  <si>
    <t>BMI</t>
  </si>
  <si>
    <t>Duration of Residence 1962-1987</t>
  </si>
  <si>
    <t>Duration of Residence since 1974</t>
  </si>
  <si>
    <t>% Exposed produce</t>
  </si>
  <si>
    <t>% protected produce</t>
  </si>
  <si>
    <t>% root Vegies</t>
  </si>
  <si>
    <t>% poultry</t>
  </si>
  <si>
    <t>Consumed local fish/shellfish?</t>
  </si>
  <si>
    <t>Soil TCDD</t>
  </si>
  <si>
    <t>Serum TCDD</t>
  </si>
  <si>
    <t>MfE background TCDD in 1997</t>
  </si>
  <si>
    <t>Age at first exposure</t>
  </si>
  <si>
    <t>1938-2003</t>
  </si>
  <si>
    <t>Euro</t>
  </si>
  <si>
    <t>yes</t>
  </si>
  <si>
    <t>1952-1974</t>
  </si>
  <si>
    <t>1952-2003</t>
  </si>
  <si>
    <t>yesyes</t>
  </si>
  <si>
    <t>1953-2002</t>
  </si>
  <si>
    <t>1954-1975</t>
  </si>
  <si>
    <t>1954-2003</t>
  </si>
  <si>
    <t>Maori</t>
  </si>
  <si>
    <t>1960-1996</t>
  </si>
  <si>
    <t>no</t>
  </si>
  <si>
    <t>1960-2003</t>
  </si>
  <si>
    <t>1965-1972</t>
  </si>
  <si>
    <t>Seven year 1965-72 changed to 1965-87</t>
  </si>
  <si>
    <t>1965-2003</t>
  </si>
  <si>
    <t>unsure</t>
  </si>
  <si>
    <t>1966-1990</t>
  </si>
  <si>
    <t>1967-1974</t>
  </si>
  <si>
    <t>1961 as per ESR Questionairre</t>
  </si>
  <si>
    <t>1967-1986</t>
  </si>
  <si>
    <t>1967-2003</t>
  </si>
  <si>
    <t>1968-1974</t>
  </si>
  <si>
    <t>Euro/Maori</t>
  </si>
  <si>
    <t>1968-1981</t>
  </si>
  <si>
    <t>1968-1990</t>
  </si>
  <si>
    <t>1970-1973</t>
  </si>
  <si>
    <t>1970-1975</t>
  </si>
  <si>
    <t>1971-1977</t>
  </si>
  <si>
    <t>1973-1980</t>
  </si>
  <si>
    <t>1973-1981</t>
  </si>
  <si>
    <t>1973-1993</t>
  </si>
  <si>
    <t>1974-1990</t>
  </si>
  <si>
    <t>1974-1991</t>
  </si>
  <si>
    <t>1975-1988</t>
  </si>
  <si>
    <t>1975-1990</t>
  </si>
  <si>
    <t>1975-1992</t>
  </si>
  <si>
    <t>1976-1989</t>
  </si>
  <si>
    <t>1976-2003</t>
  </si>
  <si>
    <t>1977-1985</t>
  </si>
  <si>
    <t>1977-2003</t>
  </si>
  <si>
    <t>Samoan</t>
  </si>
  <si>
    <t>1978-1988</t>
  </si>
  <si>
    <t>1979-1989</t>
  </si>
  <si>
    <t>1979-2003</t>
  </si>
  <si>
    <t>1980-1990</t>
  </si>
  <si>
    <t>1980-2003</t>
  </si>
  <si>
    <t>1981-1987</t>
  </si>
  <si>
    <t>1981-1988</t>
  </si>
  <si>
    <t>1984-1988</t>
  </si>
  <si>
    <t>1984-1990</t>
  </si>
  <si>
    <t>1984-1995</t>
  </si>
  <si>
    <t>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</si>
</sst>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5" x14ac:knownFonts="1">
    <font>
      <sz val="11"/>
      <color theme="1"/>
      <name val="Aptos Narrow"/>
      <family val="2"/>
      <scheme val="minor"/>
    </font>
    <font>
      <b/>
      <sz val="10"/>
      <name val="Arial"/>
      <family val="2"/>
    </font>
    <font>
      <b/>
      <sz val="12"/>
      <name val="Times New Roman"/>
      <family val="1"/>
    </font>
    <font>
      <b/>
      <sz val="10"/>
      <name val="Times New Roman"/>
      <family val="1"/>
    </font>
    <font>
      <sz val="12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6" tint="0.39997558519241921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1"/>
    <xf numFmtId="0" fontId="0" fillId="0" borderId="0" xfId="0" applyAlignment="1">
      <alignment horizontal="center"/>
    </xf>
    <xf numFmtId="0" fontId="2" fillId="2" borderId="1" xfId="0" applyFont="1" applyFill="1" applyBorder="1" applyAlignment="1">
      <alignment horizontal="center" vertical="top" wrapText="1"/>
    </xf>
    <xf numFmtId="0" fontId="2" fillId="2" borderId="2" xfId="0" applyFont="1" applyFill="1" applyBorder="1" applyAlignment="1">
      <alignment horizontal="center" vertical="top" wrapText="1"/>
    </xf>
    <xf numFmtId="0" fontId="3" fillId="2" borderId="0" xfId="0" applyFont="1" applyFill="1" applyAlignment="1">
      <alignment horizontal="center" vertical="top" wrapText="1"/>
    </xf>
    <xf numFmtId="0" fontId="2" fillId="0" borderId="0" xfId="0" applyFont="1" applyAlignment="1">
      <alignment vertical="top" wrapText="1"/>
    </xf>
    <xf numFmtId="0" fontId="4" fillId="0" borderId="0" xfId="0" applyFont="1" applyAlignment="1">
      <alignment horizontal="center" vertical="top" wrapText="1"/>
    </xf>
    <xf numFmtId="0" fontId="4" fillId="0" borderId="0" xfId="0" applyFont="1" applyAlignment="1">
      <alignment vertical="top" wrapText="1"/>
    </xf>
    <xf numFmtId="1" fontId="4" fillId="0" borderId="0" xfId="0" applyNumberFormat="1" applyFont="1" applyAlignment="1">
      <alignment horizontal="center" vertical="top" wrapText="1"/>
    </xf>
    <xf numFmtId="14" fontId="0" fillId="0" borderId="0" xfId="0" applyNumberFormat="1"/>
    <xf numFmtId="164" fontId="4" fillId="0" borderId="3" xfId="0" applyNumberFormat="1" applyFont="1" applyBorder="1" applyAlignment="1">
      <alignment vertical="top" wrapText="1"/>
    </xf>
    <xf numFmtId="164" fontId="4" fillId="0" borderId="0" xfId="0" applyNumberFormat="1" applyFont="1" applyAlignment="1">
      <alignment vertical="top" wrapText="1"/>
    </xf>
    <xf numFmtId="164" fontId="4" fillId="0" borderId="4" xfId="0" applyNumberFormat="1" applyFont="1" applyBorder="1" applyAlignment="1">
      <alignment vertical="top" wrapText="1"/>
    </xf>
    <xf numFmtId="0" fontId="0" fillId="3" borderId="0" xfId="0" applyFill="1"/>
    <xf numFmtId="164" fontId="4" fillId="3" borderId="4" xfId="0" applyNumberFormat="1" applyFont="1" applyFill="1" applyBorder="1" applyAlignment="1">
      <alignment vertical="top" wrapText="1"/>
    </xf>
    <xf numFmtId="164" fontId="0" fillId="0" borderId="0" xfId="0" applyNumberFormat="1"/>
    <xf numFmtId="0" fontId="2" fillId="0" borderId="0" xfId="0" applyFont="1"/>
    <xf numFmtId="0" fontId="4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C119A9-2252-4084-AF3C-8A18C7080A2C}">
  <dimension ref="B4:Z63"/>
  <sheetViews>
    <sheetView tabSelected="1" workbookViewId="0">
      <selection activeCell="Y19" sqref="Y19"/>
    </sheetView>
  </sheetViews>
  <sheetFormatPr defaultRowHeight="15" x14ac:dyDescent="0.25"/>
  <sheetData>
    <row r="4" spans="2:24" x14ac:dyDescent="0.25">
      <c r="B4" s="1" t="s">
        <v>0</v>
      </c>
      <c r="C4" s="2"/>
      <c r="G4" s="2"/>
      <c r="L4" s="2"/>
      <c r="U4" s="2"/>
      <c r="V4" s="2"/>
    </row>
    <row r="5" spans="2:24" x14ac:dyDescent="0.25">
      <c r="B5" s="1"/>
      <c r="C5" s="2"/>
      <c r="G5" s="2"/>
      <c r="L5" s="2"/>
      <c r="U5" s="2"/>
      <c r="V5" s="2"/>
    </row>
    <row r="6" spans="2:24" ht="78.75" x14ac:dyDescent="0.25">
      <c r="B6" s="3"/>
      <c r="C6" s="4" t="s">
        <v>1</v>
      </c>
      <c r="D6" s="4" t="s">
        <v>2</v>
      </c>
      <c r="E6" s="4" t="s">
        <v>3</v>
      </c>
      <c r="F6" s="4" t="s">
        <v>4</v>
      </c>
      <c r="G6" s="4" t="s">
        <v>5</v>
      </c>
      <c r="H6" s="4" t="s">
        <v>6</v>
      </c>
      <c r="I6" s="4" t="s">
        <v>7</v>
      </c>
      <c r="J6" s="4" t="s">
        <v>8</v>
      </c>
      <c r="K6" s="4" t="s">
        <v>9</v>
      </c>
      <c r="L6" s="4" t="s">
        <v>10</v>
      </c>
      <c r="M6" s="4" t="s">
        <v>11</v>
      </c>
      <c r="N6" s="4" t="s">
        <v>12</v>
      </c>
      <c r="O6" s="4" t="s">
        <v>13</v>
      </c>
      <c r="P6" s="4" t="s">
        <v>14</v>
      </c>
      <c r="Q6" s="4" t="s">
        <v>15</v>
      </c>
      <c r="R6" s="4" t="s">
        <v>16</v>
      </c>
      <c r="S6" s="4" t="s">
        <v>17</v>
      </c>
      <c r="T6" s="4" t="s">
        <v>18</v>
      </c>
      <c r="U6" s="4" t="s">
        <v>19</v>
      </c>
      <c r="V6" s="4" t="s">
        <v>20</v>
      </c>
      <c r="W6" s="5" t="s">
        <v>21</v>
      </c>
    </row>
    <row r="7" spans="2:24" ht="31.5" x14ac:dyDescent="0.25">
      <c r="B7" s="6">
        <v>16</v>
      </c>
      <c r="C7" s="7">
        <v>1145</v>
      </c>
      <c r="D7" s="8"/>
      <c r="E7" s="9">
        <v>2</v>
      </c>
      <c r="F7" s="8" t="s">
        <v>22</v>
      </c>
      <c r="G7" s="7">
        <v>1</v>
      </c>
      <c r="H7" t="s">
        <v>23</v>
      </c>
      <c r="I7" s="10"/>
      <c r="J7" s="9">
        <v>59</v>
      </c>
      <c r="K7" s="9">
        <v>4</v>
      </c>
      <c r="L7" s="7">
        <v>32.299999999999997</v>
      </c>
      <c r="M7" s="11">
        <v>25</v>
      </c>
      <c r="N7" s="12">
        <v>13</v>
      </c>
      <c r="O7">
        <v>11.1</v>
      </c>
      <c r="P7">
        <v>0</v>
      </c>
      <c r="Q7">
        <v>22.2</v>
      </c>
      <c r="R7">
        <v>50</v>
      </c>
      <c r="S7" t="s">
        <v>24</v>
      </c>
      <c r="T7" s="12">
        <v>6</v>
      </c>
      <c r="U7">
        <v>13.5</v>
      </c>
      <c r="V7" s="13">
        <v>3.6</v>
      </c>
      <c r="X7" s="16">
        <f>U7-V7</f>
        <v>9.9</v>
      </c>
    </row>
    <row r="8" spans="2:24" ht="31.5" x14ac:dyDescent="0.25">
      <c r="B8" s="6">
        <v>51</v>
      </c>
      <c r="C8" s="7">
        <v>1728</v>
      </c>
      <c r="D8" s="8"/>
      <c r="E8" s="9">
        <v>2</v>
      </c>
      <c r="F8" s="8" t="s">
        <v>25</v>
      </c>
      <c r="G8" s="7">
        <v>1</v>
      </c>
      <c r="H8" t="s">
        <v>23</v>
      </c>
      <c r="I8" s="10"/>
      <c r="J8" s="9">
        <v>45</v>
      </c>
      <c r="K8" s="9">
        <v>3</v>
      </c>
      <c r="L8" s="7">
        <v>25.4</v>
      </c>
      <c r="M8" s="11">
        <v>12</v>
      </c>
      <c r="N8" s="12">
        <v>0</v>
      </c>
      <c r="O8">
        <v>27.8</v>
      </c>
      <c r="P8">
        <v>5.6</v>
      </c>
      <c r="Q8">
        <v>5.6</v>
      </c>
      <c r="R8">
        <v>50</v>
      </c>
      <c r="S8" t="s">
        <v>24</v>
      </c>
      <c r="T8" s="12">
        <v>5.9</v>
      </c>
      <c r="U8" s="14">
        <v>5.4</v>
      </c>
      <c r="V8" s="15">
        <v>2.1</v>
      </c>
      <c r="W8">
        <v>9</v>
      </c>
    </row>
    <row r="9" spans="2:24" ht="31.5" x14ac:dyDescent="0.25">
      <c r="B9" s="6">
        <v>17</v>
      </c>
      <c r="C9" s="7">
        <v>1154</v>
      </c>
      <c r="D9" s="8"/>
      <c r="E9" s="9">
        <v>2</v>
      </c>
      <c r="F9" s="8" t="s">
        <v>26</v>
      </c>
      <c r="G9" s="7">
        <v>2</v>
      </c>
      <c r="H9" t="s">
        <v>23</v>
      </c>
      <c r="I9" s="10"/>
      <c r="J9" s="9">
        <v>74</v>
      </c>
      <c r="K9" s="9">
        <v>10</v>
      </c>
      <c r="L9" s="7">
        <v>30.1</v>
      </c>
      <c r="M9" s="11">
        <v>25</v>
      </c>
      <c r="N9" s="12">
        <v>13</v>
      </c>
      <c r="O9">
        <v>22.2</v>
      </c>
      <c r="P9">
        <v>16.7</v>
      </c>
      <c r="Q9">
        <v>22.2</v>
      </c>
      <c r="R9">
        <v>0</v>
      </c>
      <c r="S9" t="s">
        <v>27</v>
      </c>
      <c r="T9" s="12">
        <v>5</v>
      </c>
      <c r="U9">
        <v>7.2</v>
      </c>
      <c r="V9" s="13">
        <v>2.9</v>
      </c>
      <c r="X9" s="16">
        <f t="shared" ref="X9:X19" si="0">U9-V9</f>
        <v>4.3000000000000007</v>
      </c>
    </row>
    <row r="10" spans="2:24" ht="31.5" x14ac:dyDescent="0.25">
      <c r="B10" s="6">
        <v>18</v>
      </c>
      <c r="C10" s="7">
        <v>1155</v>
      </c>
      <c r="D10" s="8"/>
      <c r="E10" s="9">
        <v>2</v>
      </c>
      <c r="F10" s="8" t="s">
        <v>26</v>
      </c>
      <c r="G10" s="7">
        <v>1</v>
      </c>
      <c r="H10" t="s">
        <v>23</v>
      </c>
      <c r="I10" s="10"/>
      <c r="J10" s="9">
        <v>73</v>
      </c>
      <c r="K10" s="9">
        <v>5</v>
      </c>
      <c r="L10" s="7">
        <v>25.7</v>
      </c>
      <c r="M10" s="12">
        <v>25</v>
      </c>
      <c r="N10" s="12">
        <v>13</v>
      </c>
      <c r="O10">
        <v>16.7</v>
      </c>
      <c r="P10">
        <v>5.6</v>
      </c>
      <c r="Q10">
        <v>22.2</v>
      </c>
      <c r="R10">
        <v>0</v>
      </c>
      <c r="S10" t="s">
        <v>27</v>
      </c>
      <c r="T10" s="12">
        <v>5</v>
      </c>
      <c r="U10">
        <v>23.5</v>
      </c>
      <c r="V10" s="13">
        <v>5.9</v>
      </c>
      <c r="X10" s="16">
        <f t="shared" si="0"/>
        <v>17.600000000000001</v>
      </c>
    </row>
    <row r="11" spans="2:24" ht="31.5" x14ac:dyDescent="0.25">
      <c r="B11" s="6">
        <v>28</v>
      </c>
      <c r="C11" s="7">
        <v>1360</v>
      </c>
      <c r="D11" s="8"/>
      <c r="E11" s="9">
        <v>3</v>
      </c>
      <c r="F11" s="8" t="s">
        <v>28</v>
      </c>
      <c r="G11" s="7">
        <v>2</v>
      </c>
      <c r="H11" t="s">
        <v>23</v>
      </c>
      <c r="I11" s="10"/>
      <c r="J11" s="9">
        <v>82</v>
      </c>
      <c r="K11" s="9">
        <v>10</v>
      </c>
      <c r="L11" s="7">
        <v>26.8</v>
      </c>
      <c r="M11" s="12">
        <v>25</v>
      </c>
      <c r="N11" s="12">
        <v>13</v>
      </c>
      <c r="O11">
        <v>13.9</v>
      </c>
      <c r="P11">
        <v>8.3000000000000007</v>
      </c>
      <c r="Q11">
        <v>22.2</v>
      </c>
      <c r="R11">
        <v>25</v>
      </c>
      <c r="S11" t="s">
        <v>24</v>
      </c>
      <c r="T11" s="12">
        <v>7.3</v>
      </c>
      <c r="U11">
        <v>11.8</v>
      </c>
      <c r="V11" s="13">
        <v>2.9</v>
      </c>
      <c r="X11" s="16">
        <f t="shared" si="0"/>
        <v>8.9</v>
      </c>
    </row>
    <row r="12" spans="2:24" ht="31.5" x14ac:dyDescent="0.25">
      <c r="B12" s="6">
        <v>39</v>
      </c>
      <c r="C12" s="7">
        <v>1511</v>
      </c>
      <c r="D12" s="8"/>
      <c r="E12" s="9">
        <v>2</v>
      </c>
      <c r="F12" s="8" t="s">
        <v>29</v>
      </c>
      <c r="G12" s="7">
        <v>1</v>
      </c>
      <c r="H12" t="s">
        <v>23</v>
      </c>
      <c r="I12" s="10"/>
      <c r="J12" s="9">
        <v>43</v>
      </c>
      <c r="K12" s="9">
        <v>3</v>
      </c>
      <c r="L12" s="7">
        <v>23.9</v>
      </c>
      <c r="M12" s="12">
        <v>13</v>
      </c>
      <c r="N12" s="12">
        <v>1</v>
      </c>
      <c r="O12">
        <v>22.2</v>
      </c>
      <c r="P12">
        <v>5.6</v>
      </c>
      <c r="Q12">
        <v>11.1</v>
      </c>
      <c r="R12">
        <v>0</v>
      </c>
      <c r="S12" t="s">
        <v>24</v>
      </c>
      <c r="T12" s="12">
        <v>4.7</v>
      </c>
      <c r="U12" s="14">
        <v>2.7</v>
      </c>
      <c r="V12" s="15">
        <v>2.1</v>
      </c>
      <c r="W12">
        <v>7</v>
      </c>
      <c r="X12" s="16"/>
    </row>
    <row r="13" spans="2:24" ht="31.5" x14ac:dyDescent="0.25">
      <c r="B13" s="6">
        <v>45</v>
      </c>
      <c r="C13" s="7">
        <v>1614</v>
      </c>
      <c r="D13" s="8"/>
      <c r="E13" s="9">
        <v>2</v>
      </c>
      <c r="F13" s="8" t="s">
        <v>30</v>
      </c>
      <c r="G13" s="7">
        <v>1</v>
      </c>
      <c r="H13" t="s">
        <v>31</v>
      </c>
      <c r="I13" s="10"/>
      <c r="J13" s="9">
        <v>70</v>
      </c>
      <c r="K13" s="9">
        <v>5</v>
      </c>
      <c r="L13" s="7">
        <v>26.4</v>
      </c>
      <c r="M13" s="12">
        <v>25</v>
      </c>
      <c r="N13" s="12">
        <v>13</v>
      </c>
      <c r="O13">
        <v>27.8</v>
      </c>
      <c r="P13">
        <v>5.6</v>
      </c>
      <c r="Q13">
        <v>11.1</v>
      </c>
      <c r="R13">
        <v>50</v>
      </c>
      <c r="S13" t="s">
        <v>24</v>
      </c>
      <c r="T13" s="12">
        <v>5.9</v>
      </c>
      <c r="U13">
        <v>25.4</v>
      </c>
      <c r="V13" s="13">
        <v>5.9</v>
      </c>
      <c r="X13" s="16">
        <f t="shared" si="0"/>
        <v>19.5</v>
      </c>
    </row>
    <row r="14" spans="2:24" ht="31.5" x14ac:dyDescent="0.25">
      <c r="B14" s="6">
        <v>37</v>
      </c>
      <c r="C14" s="7">
        <v>1491</v>
      </c>
      <c r="D14" s="8"/>
      <c r="E14" s="9">
        <v>2</v>
      </c>
      <c r="F14" s="8" t="s">
        <v>32</v>
      </c>
      <c r="G14" s="7">
        <v>1</v>
      </c>
      <c r="H14" t="s">
        <v>23</v>
      </c>
      <c r="I14" s="10"/>
      <c r="J14" s="9">
        <v>72</v>
      </c>
      <c r="K14" s="9">
        <v>5</v>
      </c>
      <c r="L14" s="7">
        <v>24</v>
      </c>
      <c r="M14" s="12">
        <v>25</v>
      </c>
      <c r="N14" s="12">
        <v>13</v>
      </c>
      <c r="O14">
        <v>22.2</v>
      </c>
      <c r="P14">
        <v>11.1</v>
      </c>
      <c r="Q14">
        <v>11.1</v>
      </c>
      <c r="R14">
        <v>0</v>
      </c>
      <c r="S14" t="s">
        <v>33</v>
      </c>
      <c r="T14" s="12">
        <v>3.7</v>
      </c>
      <c r="U14">
        <v>8.3000000000000007</v>
      </c>
      <c r="V14" s="13">
        <v>5.9</v>
      </c>
      <c r="X14" s="16">
        <f t="shared" si="0"/>
        <v>2.4000000000000004</v>
      </c>
    </row>
    <row r="15" spans="2:24" ht="31.5" x14ac:dyDescent="0.25">
      <c r="B15" s="6">
        <v>15</v>
      </c>
      <c r="C15" s="7">
        <v>1136</v>
      </c>
      <c r="D15" s="8"/>
      <c r="E15" s="9">
        <v>2</v>
      </c>
      <c r="F15" s="8" t="s">
        <v>34</v>
      </c>
      <c r="G15" s="7">
        <v>2</v>
      </c>
      <c r="H15" t="s">
        <v>23</v>
      </c>
      <c r="I15" s="10"/>
      <c r="J15" s="9">
        <v>70</v>
      </c>
      <c r="K15" s="9">
        <v>10</v>
      </c>
      <c r="L15" s="7">
        <v>30.8</v>
      </c>
      <c r="M15" s="12">
        <v>25</v>
      </c>
      <c r="N15" s="12">
        <v>13</v>
      </c>
      <c r="O15">
        <v>11.1</v>
      </c>
      <c r="P15">
        <v>5.6</v>
      </c>
      <c r="Q15">
        <v>22.2</v>
      </c>
      <c r="R15">
        <v>0</v>
      </c>
      <c r="S15" t="s">
        <v>24</v>
      </c>
      <c r="T15" s="12">
        <v>4</v>
      </c>
      <c r="U15">
        <v>13.6</v>
      </c>
      <c r="V15" s="13">
        <v>2.9</v>
      </c>
      <c r="X15" s="16">
        <f t="shared" si="0"/>
        <v>10.7</v>
      </c>
    </row>
    <row r="16" spans="2:24" ht="31.5" x14ac:dyDescent="0.25">
      <c r="B16" s="6">
        <v>33</v>
      </c>
      <c r="C16" s="7">
        <v>1434</v>
      </c>
      <c r="D16" s="8"/>
      <c r="E16" s="9">
        <v>2</v>
      </c>
      <c r="F16" s="8" t="s">
        <v>34</v>
      </c>
      <c r="G16" s="7">
        <v>2</v>
      </c>
      <c r="H16" t="s">
        <v>23</v>
      </c>
      <c r="I16" s="10"/>
      <c r="J16" s="9">
        <v>64</v>
      </c>
      <c r="K16" s="9">
        <v>9</v>
      </c>
      <c r="L16" s="7">
        <v>32.299999999999997</v>
      </c>
      <c r="M16" s="12">
        <v>25</v>
      </c>
      <c r="N16" s="12">
        <v>13</v>
      </c>
      <c r="O16">
        <v>22.2</v>
      </c>
      <c r="P16">
        <v>16.7</v>
      </c>
      <c r="Q16">
        <v>11.1</v>
      </c>
      <c r="R16">
        <v>0</v>
      </c>
      <c r="S16" t="s">
        <v>24</v>
      </c>
      <c r="T16" s="12">
        <v>3.4</v>
      </c>
      <c r="U16">
        <v>13.8</v>
      </c>
      <c r="V16" s="13">
        <v>2.5</v>
      </c>
      <c r="X16" s="16">
        <f t="shared" si="0"/>
        <v>11.3</v>
      </c>
    </row>
    <row r="17" spans="2:26" ht="31.5" x14ac:dyDescent="0.25">
      <c r="B17" s="6">
        <v>2</v>
      </c>
      <c r="C17" s="7">
        <v>1023</v>
      </c>
      <c r="D17" s="8"/>
      <c r="E17" s="9">
        <v>2</v>
      </c>
      <c r="F17" s="8" t="s">
        <v>35</v>
      </c>
      <c r="G17" s="7">
        <v>1</v>
      </c>
      <c r="H17" t="s">
        <v>23</v>
      </c>
      <c r="I17" s="10"/>
      <c r="J17" s="9">
        <v>77</v>
      </c>
      <c r="K17" s="9">
        <v>5</v>
      </c>
      <c r="L17" s="7">
        <v>28.9</v>
      </c>
      <c r="M17" s="12">
        <v>22</v>
      </c>
      <c r="N17" s="12">
        <v>0</v>
      </c>
      <c r="O17">
        <v>0</v>
      </c>
      <c r="P17">
        <v>0</v>
      </c>
      <c r="Q17">
        <v>0</v>
      </c>
      <c r="R17">
        <v>50</v>
      </c>
      <c r="S17" t="s">
        <v>24</v>
      </c>
      <c r="T17" s="12">
        <v>7.4</v>
      </c>
      <c r="U17">
        <v>14</v>
      </c>
      <c r="V17" s="13">
        <v>5.9</v>
      </c>
      <c r="X17" s="16">
        <f t="shared" si="0"/>
        <v>8.1</v>
      </c>
      <c r="Z17" t="s">
        <v>36</v>
      </c>
    </row>
    <row r="18" spans="2:26" ht="31.5" x14ac:dyDescent="0.25">
      <c r="B18" s="6">
        <v>20</v>
      </c>
      <c r="C18" s="7">
        <v>1261</v>
      </c>
      <c r="D18" s="8"/>
      <c r="E18" s="9">
        <v>2</v>
      </c>
      <c r="F18" s="8" t="s">
        <v>37</v>
      </c>
      <c r="G18" s="7">
        <v>2</v>
      </c>
      <c r="H18" t="s">
        <v>23</v>
      </c>
      <c r="I18" s="10"/>
      <c r="J18" s="9">
        <v>62</v>
      </c>
      <c r="K18" s="9">
        <v>9</v>
      </c>
      <c r="L18" s="7">
        <v>33.299999999999997</v>
      </c>
      <c r="M18" s="12">
        <v>22</v>
      </c>
      <c r="N18" s="12">
        <v>13</v>
      </c>
      <c r="O18">
        <v>9</v>
      </c>
      <c r="P18">
        <v>3.5</v>
      </c>
      <c r="Q18">
        <v>11.1</v>
      </c>
      <c r="R18">
        <v>0</v>
      </c>
      <c r="S18" t="s">
        <v>38</v>
      </c>
      <c r="T18" s="12">
        <v>5.5</v>
      </c>
      <c r="U18">
        <v>24.3</v>
      </c>
      <c r="V18" s="13">
        <v>2.5</v>
      </c>
      <c r="X18" s="16">
        <f t="shared" si="0"/>
        <v>21.8</v>
      </c>
    </row>
    <row r="19" spans="2:26" ht="31.5" x14ac:dyDescent="0.25">
      <c r="B19" s="6">
        <v>5</v>
      </c>
      <c r="C19" s="7">
        <v>1046</v>
      </c>
      <c r="D19" s="8"/>
      <c r="E19" s="9">
        <v>2</v>
      </c>
      <c r="F19" s="8" t="s">
        <v>39</v>
      </c>
      <c r="G19" s="7">
        <v>2</v>
      </c>
      <c r="H19" t="s">
        <v>23</v>
      </c>
      <c r="I19" s="10"/>
      <c r="J19" s="9">
        <v>60</v>
      </c>
      <c r="K19" s="9">
        <v>9</v>
      </c>
      <c r="L19" s="7">
        <v>29.5</v>
      </c>
      <c r="M19" s="12">
        <v>21</v>
      </c>
      <c r="N19" s="12">
        <v>13</v>
      </c>
      <c r="O19">
        <v>16.7</v>
      </c>
      <c r="P19">
        <v>0</v>
      </c>
      <c r="Q19">
        <v>16.7</v>
      </c>
      <c r="R19">
        <v>0</v>
      </c>
      <c r="S19" t="s">
        <v>33</v>
      </c>
      <c r="T19" s="12">
        <v>7.7</v>
      </c>
      <c r="U19">
        <v>8.8000000000000007</v>
      </c>
      <c r="V19" s="13">
        <v>2.5</v>
      </c>
      <c r="X19" s="16">
        <f t="shared" si="0"/>
        <v>6.3000000000000007</v>
      </c>
    </row>
    <row r="20" spans="2:26" ht="31.5" x14ac:dyDescent="0.25">
      <c r="B20" s="6">
        <v>4</v>
      </c>
      <c r="C20" s="7">
        <v>1039</v>
      </c>
      <c r="D20" s="8"/>
      <c r="E20" s="9">
        <v>2</v>
      </c>
      <c r="F20" s="8" t="s">
        <v>40</v>
      </c>
      <c r="G20" s="7">
        <v>1</v>
      </c>
      <c r="H20" t="s">
        <v>23</v>
      </c>
      <c r="I20" s="10"/>
      <c r="J20" s="9">
        <v>49</v>
      </c>
      <c r="K20" s="9">
        <v>3</v>
      </c>
      <c r="L20" s="7">
        <v>27.7</v>
      </c>
      <c r="M20" s="12">
        <v>7</v>
      </c>
      <c r="N20" s="12">
        <v>0</v>
      </c>
      <c r="O20">
        <v>18.100000000000001</v>
      </c>
      <c r="P20">
        <v>12.5</v>
      </c>
      <c r="Q20">
        <v>22.2</v>
      </c>
      <c r="R20">
        <v>0</v>
      </c>
      <c r="S20" t="s">
        <v>24</v>
      </c>
      <c r="T20" s="12">
        <v>6.6</v>
      </c>
      <c r="U20" s="14">
        <v>7.1</v>
      </c>
      <c r="V20" s="15">
        <v>2.1</v>
      </c>
      <c r="W20">
        <v>13</v>
      </c>
      <c r="Z20" t="s">
        <v>41</v>
      </c>
    </row>
    <row r="21" spans="2:26" ht="31.5" x14ac:dyDescent="0.25">
      <c r="B21" s="6">
        <v>9</v>
      </c>
      <c r="C21" s="7">
        <v>1058</v>
      </c>
      <c r="D21" s="8"/>
      <c r="E21" s="9">
        <v>2</v>
      </c>
      <c r="F21" s="8" t="s">
        <v>40</v>
      </c>
      <c r="G21" s="7">
        <v>2</v>
      </c>
      <c r="H21" t="s">
        <v>23</v>
      </c>
      <c r="I21" s="10"/>
      <c r="J21" s="9">
        <v>41</v>
      </c>
      <c r="K21" s="9">
        <v>8</v>
      </c>
      <c r="L21" s="7">
        <v>27.5</v>
      </c>
      <c r="M21" s="12">
        <v>7</v>
      </c>
      <c r="N21" s="12">
        <v>0</v>
      </c>
      <c r="O21">
        <v>11.1</v>
      </c>
      <c r="P21">
        <v>5.6</v>
      </c>
      <c r="Q21">
        <v>11.1</v>
      </c>
      <c r="R21">
        <v>0</v>
      </c>
      <c r="S21" t="s">
        <v>24</v>
      </c>
      <c r="T21" s="12">
        <v>42.9</v>
      </c>
      <c r="U21" s="14">
        <v>1.3</v>
      </c>
      <c r="V21" s="15">
        <v>1.4</v>
      </c>
      <c r="W21">
        <v>11</v>
      </c>
    </row>
    <row r="22" spans="2:26" ht="31.5" x14ac:dyDescent="0.25">
      <c r="B22" s="6">
        <v>10</v>
      </c>
      <c r="C22" s="7">
        <v>1059</v>
      </c>
      <c r="D22" s="8"/>
      <c r="E22" s="9">
        <v>2</v>
      </c>
      <c r="F22" s="8" t="s">
        <v>40</v>
      </c>
      <c r="G22" s="7">
        <v>1</v>
      </c>
      <c r="H22" t="s">
        <v>23</v>
      </c>
      <c r="I22" s="10"/>
      <c r="J22" s="9">
        <v>42</v>
      </c>
      <c r="K22" s="9">
        <v>3</v>
      </c>
      <c r="L22" s="7">
        <v>24.1</v>
      </c>
      <c r="M22" s="12">
        <v>7</v>
      </c>
      <c r="N22" s="12">
        <v>0</v>
      </c>
      <c r="O22">
        <v>16.7</v>
      </c>
      <c r="P22">
        <v>11.1</v>
      </c>
      <c r="Q22">
        <v>11.1</v>
      </c>
      <c r="R22">
        <v>0</v>
      </c>
      <c r="S22" t="s">
        <v>24</v>
      </c>
      <c r="T22" s="12">
        <v>42.9</v>
      </c>
      <c r="U22" s="14">
        <v>2.4</v>
      </c>
      <c r="V22" s="15">
        <v>2.1</v>
      </c>
      <c r="W22">
        <v>12</v>
      </c>
    </row>
    <row r="23" spans="2:26" ht="31.5" x14ac:dyDescent="0.25">
      <c r="B23" s="6">
        <v>8</v>
      </c>
      <c r="C23" s="7">
        <v>1057</v>
      </c>
      <c r="D23" s="8"/>
      <c r="E23" s="9">
        <v>2</v>
      </c>
      <c r="F23" s="8" t="s">
        <v>42</v>
      </c>
      <c r="G23" s="7">
        <v>2</v>
      </c>
      <c r="H23" t="s">
        <v>23</v>
      </c>
      <c r="I23" s="10"/>
      <c r="J23" s="9">
        <v>73</v>
      </c>
      <c r="K23" s="9">
        <v>10</v>
      </c>
      <c r="L23" s="7">
        <v>27.9</v>
      </c>
      <c r="M23" s="12">
        <v>19</v>
      </c>
      <c r="N23" s="12">
        <v>12</v>
      </c>
      <c r="O23">
        <v>11.8</v>
      </c>
      <c r="P23">
        <v>6.25</v>
      </c>
      <c r="Q23">
        <v>0</v>
      </c>
      <c r="R23">
        <v>0</v>
      </c>
      <c r="S23" t="s">
        <v>24</v>
      </c>
      <c r="T23" s="12">
        <v>42.9</v>
      </c>
      <c r="U23">
        <v>33.299999999999997</v>
      </c>
      <c r="V23" s="13">
        <v>2.9</v>
      </c>
      <c r="X23" s="16">
        <f t="shared" ref="X23:X25" si="1">U23-V23</f>
        <v>30.4</v>
      </c>
    </row>
    <row r="24" spans="2:26" ht="31.5" x14ac:dyDescent="0.25">
      <c r="B24" s="6">
        <v>24</v>
      </c>
      <c r="C24" s="7">
        <v>1314</v>
      </c>
      <c r="D24" s="8"/>
      <c r="E24" s="9">
        <v>2</v>
      </c>
      <c r="F24" s="8" t="s">
        <v>43</v>
      </c>
      <c r="G24" s="7">
        <v>2</v>
      </c>
      <c r="H24" t="s">
        <v>23</v>
      </c>
      <c r="I24" s="10"/>
      <c r="J24" s="9">
        <v>57</v>
      </c>
      <c r="K24" s="9">
        <v>9</v>
      </c>
      <c r="L24" s="7">
        <v>29.7</v>
      </c>
      <c r="M24" s="12">
        <v>20</v>
      </c>
      <c r="N24" s="12">
        <v>13</v>
      </c>
      <c r="O24">
        <v>11.1</v>
      </c>
      <c r="P24">
        <v>0</v>
      </c>
      <c r="Q24">
        <v>22.2</v>
      </c>
      <c r="R24">
        <v>50</v>
      </c>
      <c r="S24" t="s">
        <v>24</v>
      </c>
      <c r="T24" s="12">
        <v>6</v>
      </c>
      <c r="U24">
        <v>4.3</v>
      </c>
      <c r="V24" s="13">
        <v>2.5</v>
      </c>
      <c r="X24" s="16">
        <f t="shared" si="1"/>
        <v>1.7999999999999998</v>
      </c>
      <c r="Y24" s="16"/>
    </row>
    <row r="25" spans="2:26" ht="31.5" x14ac:dyDescent="0.25">
      <c r="B25" s="6">
        <v>30</v>
      </c>
      <c r="C25" s="7">
        <v>1402</v>
      </c>
      <c r="D25" s="8"/>
      <c r="E25" s="9">
        <v>2</v>
      </c>
      <c r="F25" s="8" t="s">
        <v>43</v>
      </c>
      <c r="G25" s="7">
        <v>1</v>
      </c>
      <c r="H25" t="s">
        <v>23</v>
      </c>
      <c r="I25" s="10"/>
      <c r="J25" s="9">
        <v>49</v>
      </c>
      <c r="K25" s="9">
        <v>3</v>
      </c>
      <c r="L25" s="7">
        <v>29.4</v>
      </c>
      <c r="M25" s="12">
        <v>20</v>
      </c>
      <c r="N25" s="12">
        <v>13</v>
      </c>
      <c r="O25">
        <v>22.2</v>
      </c>
      <c r="P25">
        <v>11.1</v>
      </c>
      <c r="Q25">
        <v>22.2</v>
      </c>
      <c r="R25">
        <v>50</v>
      </c>
      <c r="S25" t="s">
        <v>33</v>
      </c>
      <c r="T25" s="12">
        <v>4.5</v>
      </c>
      <c r="U25">
        <v>13.5</v>
      </c>
      <c r="V25" s="13">
        <v>2.1</v>
      </c>
      <c r="X25" s="16">
        <f t="shared" si="1"/>
        <v>11.4</v>
      </c>
    </row>
    <row r="26" spans="2:26" ht="31.5" x14ac:dyDescent="0.25">
      <c r="B26" s="6">
        <v>43</v>
      </c>
      <c r="C26" s="7">
        <v>1567</v>
      </c>
      <c r="D26" s="8"/>
      <c r="E26" s="9">
        <v>3</v>
      </c>
      <c r="F26" s="8" t="s">
        <v>44</v>
      </c>
      <c r="G26" s="7">
        <v>2</v>
      </c>
      <c r="H26" t="s">
        <v>45</v>
      </c>
      <c r="I26" s="10"/>
      <c r="J26" s="9">
        <v>60</v>
      </c>
      <c r="K26" s="9">
        <v>9</v>
      </c>
      <c r="L26" s="7">
        <v>23.4</v>
      </c>
      <c r="M26" s="12">
        <v>3</v>
      </c>
      <c r="N26" s="12">
        <v>0</v>
      </c>
      <c r="O26">
        <v>16.7</v>
      </c>
      <c r="P26">
        <v>5.6</v>
      </c>
      <c r="Q26">
        <v>11.1</v>
      </c>
      <c r="R26">
        <v>0</v>
      </c>
      <c r="S26" t="s">
        <v>24</v>
      </c>
      <c r="T26" s="12">
        <v>15.7</v>
      </c>
      <c r="U26">
        <v>2.5</v>
      </c>
      <c r="V26" s="13">
        <v>2.5</v>
      </c>
      <c r="X26" s="16"/>
      <c r="Y26" s="16">
        <f>U26-V26</f>
        <v>0</v>
      </c>
    </row>
    <row r="27" spans="2:26" ht="31.5" x14ac:dyDescent="0.25">
      <c r="B27" s="6">
        <v>49</v>
      </c>
      <c r="C27" s="7">
        <v>1702</v>
      </c>
      <c r="D27" s="8"/>
      <c r="E27" s="9">
        <v>2</v>
      </c>
      <c r="F27" s="8" t="s">
        <v>46</v>
      </c>
      <c r="G27" s="7">
        <v>1</v>
      </c>
      <c r="H27" t="s">
        <v>23</v>
      </c>
      <c r="I27" s="10"/>
      <c r="J27" s="9">
        <v>54</v>
      </c>
      <c r="K27" s="9">
        <v>4</v>
      </c>
      <c r="L27" s="7">
        <v>32.4</v>
      </c>
      <c r="M27" s="12">
        <v>13</v>
      </c>
      <c r="N27" s="12">
        <v>7</v>
      </c>
      <c r="O27">
        <v>11.1</v>
      </c>
      <c r="P27">
        <v>0</v>
      </c>
      <c r="Q27">
        <v>11.1</v>
      </c>
      <c r="R27">
        <v>0</v>
      </c>
      <c r="S27" t="s">
        <v>24</v>
      </c>
      <c r="T27" s="12">
        <v>9.5</v>
      </c>
      <c r="U27">
        <v>2.5</v>
      </c>
      <c r="V27" s="13">
        <v>3.6</v>
      </c>
      <c r="X27" s="16"/>
      <c r="Y27" s="16">
        <f t="shared" ref="Y27:Y34" si="2">U27-V27</f>
        <v>-1.1000000000000001</v>
      </c>
    </row>
    <row r="28" spans="2:26" ht="31.5" x14ac:dyDescent="0.25">
      <c r="B28" s="6">
        <v>3</v>
      </c>
      <c r="C28" s="7">
        <v>1030</v>
      </c>
      <c r="D28" s="8"/>
      <c r="E28" s="9">
        <v>2</v>
      </c>
      <c r="F28" s="8" t="s">
        <v>47</v>
      </c>
      <c r="G28" s="7">
        <v>2</v>
      </c>
      <c r="H28" t="s">
        <v>23</v>
      </c>
      <c r="I28" s="10"/>
      <c r="J28" s="9">
        <v>57</v>
      </c>
      <c r="K28" s="9">
        <v>9</v>
      </c>
      <c r="L28" s="7">
        <v>30.2</v>
      </c>
      <c r="M28" s="12">
        <v>19</v>
      </c>
      <c r="N28" s="12">
        <v>13</v>
      </c>
      <c r="O28">
        <v>22.2</v>
      </c>
      <c r="P28">
        <v>11.1</v>
      </c>
      <c r="Q28">
        <v>22.2</v>
      </c>
      <c r="R28">
        <v>0</v>
      </c>
      <c r="S28" t="s">
        <v>33</v>
      </c>
      <c r="T28" s="12">
        <v>5.7</v>
      </c>
      <c r="U28">
        <v>3.9</v>
      </c>
      <c r="V28" s="13">
        <v>2.5</v>
      </c>
      <c r="X28" s="16"/>
      <c r="Y28" s="16">
        <f t="shared" si="2"/>
        <v>1.4</v>
      </c>
    </row>
    <row r="29" spans="2:26" ht="31.5" x14ac:dyDescent="0.25">
      <c r="B29" s="6">
        <v>13</v>
      </c>
      <c r="C29" s="7">
        <v>1106</v>
      </c>
      <c r="D29" s="8"/>
      <c r="E29" s="9">
        <v>2</v>
      </c>
      <c r="F29" s="8" t="s">
        <v>48</v>
      </c>
      <c r="G29" s="7">
        <v>2</v>
      </c>
      <c r="H29" t="s">
        <v>23</v>
      </c>
      <c r="I29" s="10"/>
      <c r="J29" s="9">
        <v>53</v>
      </c>
      <c r="K29" s="9">
        <v>9</v>
      </c>
      <c r="L29" s="7">
        <v>25.3</v>
      </c>
      <c r="M29" s="12">
        <v>3</v>
      </c>
      <c r="N29" s="12">
        <v>0</v>
      </c>
      <c r="O29">
        <v>2.8</v>
      </c>
      <c r="P29">
        <v>0</v>
      </c>
      <c r="Q29">
        <v>11.1</v>
      </c>
      <c r="R29">
        <v>0</v>
      </c>
      <c r="S29" t="s">
        <v>24</v>
      </c>
      <c r="T29" s="12">
        <v>11</v>
      </c>
      <c r="U29">
        <v>3.6</v>
      </c>
      <c r="V29" s="13">
        <v>2.5</v>
      </c>
      <c r="X29" s="16"/>
      <c r="Y29" s="16">
        <f t="shared" si="2"/>
        <v>1.1000000000000001</v>
      </c>
    </row>
    <row r="30" spans="2:26" ht="31.5" x14ac:dyDescent="0.25">
      <c r="B30" s="6">
        <v>14</v>
      </c>
      <c r="C30" s="7">
        <v>1134</v>
      </c>
      <c r="D30" s="8"/>
      <c r="E30" s="9">
        <v>2</v>
      </c>
      <c r="F30" s="8" t="s">
        <v>48</v>
      </c>
      <c r="G30" s="7">
        <v>1</v>
      </c>
      <c r="H30" t="s">
        <v>23</v>
      </c>
      <c r="I30" s="10"/>
      <c r="J30" s="9">
        <v>52</v>
      </c>
      <c r="K30" s="9">
        <v>4</v>
      </c>
      <c r="L30" s="7">
        <v>20.8</v>
      </c>
      <c r="M30" s="12">
        <v>3</v>
      </c>
      <c r="N30" s="12">
        <v>0</v>
      </c>
      <c r="O30">
        <v>15.3</v>
      </c>
      <c r="P30">
        <v>0</v>
      </c>
      <c r="Q30">
        <v>22.2</v>
      </c>
      <c r="R30">
        <v>0</v>
      </c>
      <c r="S30" t="s">
        <v>24</v>
      </c>
      <c r="T30" s="12">
        <v>11</v>
      </c>
      <c r="U30">
        <v>6.3</v>
      </c>
      <c r="V30" s="13">
        <v>3.6</v>
      </c>
      <c r="Y30" s="16">
        <f t="shared" si="2"/>
        <v>2.6999999999999997</v>
      </c>
    </row>
    <row r="31" spans="2:26" ht="31.5" x14ac:dyDescent="0.25">
      <c r="B31" s="6">
        <v>6</v>
      </c>
      <c r="C31" s="7">
        <v>1047</v>
      </c>
      <c r="D31" s="8"/>
      <c r="E31" s="9">
        <v>3</v>
      </c>
      <c r="F31" s="8" t="s">
        <v>49</v>
      </c>
      <c r="G31" s="7">
        <v>2</v>
      </c>
      <c r="H31" t="s">
        <v>23</v>
      </c>
      <c r="I31" s="10"/>
      <c r="J31" s="9">
        <v>64</v>
      </c>
      <c r="K31" s="9">
        <v>9</v>
      </c>
      <c r="L31" s="7">
        <v>37.200000000000003</v>
      </c>
      <c r="M31" s="12">
        <v>5</v>
      </c>
      <c r="N31" s="12">
        <v>1</v>
      </c>
      <c r="O31">
        <v>8.3000000000000007</v>
      </c>
      <c r="P31">
        <v>2.8</v>
      </c>
      <c r="Q31">
        <v>16.7</v>
      </c>
      <c r="R31">
        <v>0</v>
      </c>
      <c r="S31" t="s">
        <v>24</v>
      </c>
      <c r="T31" s="12">
        <v>7.7</v>
      </c>
      <c r="U31">
        <v>2.06</v>
      </c>
      <c r="V31" s="13">
        <v>2.5</v>
      </c>
      <c r="Y31" s="16">
        <f t="shared" si="2"/>
        <v>-0.43999999999999995</v>
      </c>
    </row>
    <row r="32" spans="2:26" ht="31.5" x14ac:dyDescent="0.25">
      <c r="B32" s="6">
        <v>7</v>
      </c>
      <c r="C32" s="7">
        <v>1048</v>
      </c>
      <c r="D32" s="8"/>
      <c r="E32" s="9">
        <v>3</v>
      </c>
      <c r="F32" s="8" t="s">
        <v>49</v>
      </c>
      <c r="G32" s="7">
        <v>1</v>
      </c>
      <c r="H32" t="s">
        <v>23</v>
      </c>
      <c r="I32" s="10"/>
      <c r="J32" s="9">
        <v>60</v>
      </c>
      <c r="K32" s="9">
        <v>4</v>
      </c>
      <c r="L32" s="7">
        <v>30.3</v>
      </c>
      <c r="M32" s="12">
        <v>5</v>
      </c>
      <c r="N32" s="12">
        <v>1</v>
      </c>
      <c r="O32">
        <v>11.1</v>
      </c>
      <c r="P32">
        <v>0</v>
      </c>
      <c r="Q32">
        <v>11.1</v>
      </c>
      <c r="R32">
        <v>0</v>
      </c>
      <c r="S32" t="s">
        <v>33</v>
      </c>
      <c r="T32" s="12">
        <v>7.7</v>
      </c>
      <c r="U32">
        <v>4.5</v>
      </c>
      <c r="V32" s="13">
        <v>3.6</v>
      </c>
      <c r="Y32" s="16">
        <f t="shared" si="2"/>
        <v>0.89999999999999991</v>
      </c>
    </row>
    <row r="33" spans="2:25" ht="31.5" x14ac:dyDescent="0.25">
      <c r="B33" s="6">
        <v>41</v>
      </c>
      <c r="C33" s="7">
        <v>1550</v>
      </c>
      <c r="D33" s="8"/>
      <c r="E33" s="9">
        <v>2</v>
      </c>
      <c r="F33" s="8" t="s">
        <v>49</v>
      </c>
      <c r="G33" s="7">
        <v>2</v>
      </c>
      <c r="H33" t="s">
        <v>23</v>
      </c>
      <c r="I33" s="10"/>
      <c r="J33" s="9">
        <v>73</v>
      </c>
      <c r="K33" s="9">
        <v>10</v>
      </c>
      <c r="L33" s="7">
        <v>25.9</v>
      </c>
      <c r="M33" s="12">
        <v>5</v>
      </c>
      <c r="N33" s="12">
        <v>1</v>
      </c>
      <c r="O33">
        <v>8.3000000000000007</v>
      </c>
      <c r="P33">
        <v>0</v>
      </c>
      <c r="Q33">
        <v>0</v>
      </c>
      <c r="R33">
        <v>0</v>
      </c>
      <c r="S33" t="s">
        <v>33</v>
      </c>
      <c r="T33" s="12">
        <v>6.2</v>
      </c>
      <c r="U33">
        <v>4.3</v>
      </c>
      <c r="V33" s="13">
        <v>2.9</v>
      </c>
      <c r="Y33" s="16">
        <f t="shared" si="2"/>
        <v>1.4</v>
      </c>
    </row>
    <row r="34" spans="2:25" ht="31.5" x14ac:dyDescent="0.25">
      <c r="B34" s="6">
        <v>46</v>
      </c>
      <c r="C34" s="7">
        <v>1627</v>
      </c>
      <c r="D34" s="8"/>
      <c r="E34" s="9">
        <v>2</v>
      </c>
      <c r="F34" s="8" t="s">
        <v>50</v>
      </c>
      <c r="G34" s="7">
        <v>1</v>
      </c>
      <c r="H34" t="s">
        <v>23</v>
      </c>
      <c r="I34" s="10"/>
      <c r="J34" s="9">
        <v>60</v>
      </c>
      <c r="K34" s="9">
        <v>4</v>
      </c>
      <c r="L34" s="7">
        <v>31</v>
      </c>
      <c r="M34" s="12">
        <v>6</v>
      </c>
      <c r="N34" s="12">
        <v>3</v>
      </c>
      <c r="O34">
        <v>11.1</v>
      </c>
      <c r="P34">
        <v>5.6</v>
      </c>
      <c r="Q34">
        <v>11.1</v>
      </c>
      <c r="R34">
        <v>0</v>
      </c>
      <c r="S34" t="s">
        <v>24</v>
      </c>
      <c r="T34" s="12">
        <v>17.8</v>
      </c>
      <c r="U34">
        <v>5.9</v>
      </c>
      <c r="V34" s="13">
        <v>3.6</v>
      </c>
      <c r="Y34" s="16">
        <f t="shared" si="2"/>
        <v>2.3000000000000003</v>
      </c>
    </row>
    <row r="35" spans="2:25" ht="31.5" x14ac:dyDescent="0.25">
      <c r="B35" s="6">
        <v>29</v>
      </c>
      <c r="C35" s="7">
        <v>1395</v>
      </c>
      <c r="D35" s="8"/>
      <c r="E35" s="9">
        <v>3</v>
      </c>
      <c r="F35" s="8" t="s">
        <v>51</v>
      </c>
      <c r="G35" s="7">
        <v>1</v>
      </c>
      <c r="H35" t="s">
        <v>23</v>
      </c>
      <c r="I35" s="10"/>
      <c r="J35" s="9">
        <v>24</v>
      </c>
      <c r="K35" s="9">
        <v>1</v>
      </c>
      <c r="L35" s="7">
        <v>24.3</v>
      </c>
      <c r="M35" s="12">
        <v>7</v>
      </c>
      <c r="N35" s="12">
        <v>6</v>
      </c>
      <c r="O35">
        <v>8.3000000000000007</v>
      </c>
      <c r="P35">
        <v>0</v>
      </c>
      <c r="Q35">
        <v>2.8</v>
      </c>
      <c r="R35">
        <v>0</v>
      </c>
      <c r="S35" t="s">
        <v>33</v>
      </c>
      <c r="T35" s="12">
        <v>16.899999999999999</v>
      </c>
      <c r="U35">
        <v>1.04</v>
      </c>
      <c r="V35" s="13">
        <v>1</v>
      </c>
    </row>
    <row r="36" spans="2:25" ht="31.5" x14ac:dyDescent="0.25">
      <c r="B36" s="6">
        <v>42</v>
      </c>
      <c r="C36" s="7">
        <v>1559</v>
      </c>
      <c r="D36" s="8"/>
      <c r="E36" s="9">
        <v>3</v>
      </c>
      <c r="F36" s="8" t="s">
        <v>52</v>
      </c>
      <c r="G36" s="7">
        <v>1</v>
      </c>
      <c r="H36" t="s">
        <v>23</v>
      </c>
      <c r="I36" s="10"/>
      <c r="J36" s="9">
        <v>24</v>
      </c>
      <c r="K36" s="9">
        <v>1</v>
      </c>
      <c r="L36" s="7">
        <v>34.299999999999997</v>
      </c>
      <c r="M36" s="12">
        <v>8</v>
      </c>
      <c r="N36" s="12">
        <v>7</v>
      </c>
      <c r="O36">
        <v>11.1</v>
      </c>
      <c r="P36">
        <v>11.1</v>
      </c>
      <c r="Q36">
        <v>11.1</v>
      </c>
      <c r="R36">
        <v>0</v>
      </c>
      <c r="S36" t="s">
        <v>38</v>
      </c>
      <c r="T36" s="12">
        <v>17</v>
      </c>
      <c r="U36">
        <v>0.85</v>
      </c>
      <c r="V36" s="13">
        <v>1</v>
      </c>
    </row>
    <row r="37" spans="2:25" ht="31.5" x14ac:dyDescent="0.25">
      <c r="B37" s="6">
        <v>50</v>
      </c>
      <c r="C37" s="7">
        <v>1714</v>
      </c>
      <c r="D37" s="8"/>
      <c r="E37" s="9">
        <v>3</v>
      </c>
      <c r="F37" s="8" t="s">
        <v>53</v>
      </c>
      <c r="G37" s="7">
        <v>2</v>
      </c>
      <c r="H37" t="s">
        <v>23</v>
      </c>
      <c r="I37" s="10"/>
      <c r="J37" s="9">
        <v>64</v>
      </c>
      <c r="K37" s="9">
        <v>9</v>
      </c>
      <c r="L37" s="7">
        <v>26.6</v>
      </c>
      <c r="M37" s="12">
        <v>14</v>
      </c>
      <c r="N37" s="12">
        <v>13</v>
      </c>
      <c r="O37">
        <v>19.399999999999999</v>
      </c>
      <c r="P37">
        <v>5.6</v>
      </c>
      <c r="Q37">
        <v>11.1</v>
      </c>
      <c r="R37">
        <v>100</v>
      </c>
      <c r="S37" t="s">
        <v>24</v>
      </c>
      <c r="T37" s="12">
        <v>16.2</v>
      </c>
      <c r="U37">
        <v>1.59</v>
      </c>
      <c r="V37" s="13">
        <v>2.5</v>
      </c>
    </row>
    <row r="38" spans="2:25" ht="31.5" x14ac:dyDescent="0.25">
      <c r="B38" s="6">
        <v>21</v>
      </c>
      <c r="C38" s="7">
        <v>1267</v>
      </c>
      <c r="D38" s="8"/>
      <c r="E38" s="9">
        <v>3</v>
      </c>
      <c r="F38" s="8" t="s">
        <v>54</v>
      </c>
      <c r="G38" s="7">
        <v>1</v>
      </c>
      <c r="H38" t="s">
        <v>23</v>
      </c>
      <c r="I38" s="10"/>
      <c r="J38" s="9">
        <v>57</v>
      </c>
      <c r="K38" s="9">
        <v>4</v>
      </c>
      <c r="L38" s="7">
        <v>28</v>
      </c>
      <c r="M38" s="12">
        <v>13</v>
      </c>
      <c r="N38" s="12">
        <v>13</v>
      </c>
      <c r="O38">
        <v>8.3000000000000007</v>
      </c>
      <c r="P38">
        <v>0</v>
      </c>
      <c r="Q38">
        <v>11.1</v>
      </c>
      <c r="R38">
        <v>0</v>
      </c>
      <c r="S38" t="s">
        <v>33</v>
      </c>
      <c r="T38" s="12">
        <v>8.9</v>
      </c>
      <c r="U38">
        <v>1.8</v>
      </c>
      <c r="V38" s="13">
        <v>3.6</v>
      </c>
    </row>
    <row r="39" spans="2:25" ht="31.5" x14ac:dyDescent="0.25">
      <c r="B39" s="17">
        <v>52</v>
      </c>
      <c r="C39" s="7">
        <v>1735</v>
      </c>
      <c r="D39" s="8"/>
      <c r="E39" s="9">
        <v>3</v>
      </c>
      <c r="F39" s="8" t="s">
        <v>55</v>
      </c>
      <c r="G39" s="7">
        <v>1</v>
      </c>
      <c r="H39" t="s">
        <v>23</v>
      </c>
      <c r="I39" s="10"/>
      <c r="J39" s="9">
        <v>23</v>
      </c>
      <c r="K39" s="9">
        <v>1</v>
      </c>
      <c r="L39" s="7">
        <v>29.4</v>
      </c>
      <c r="M39" s="12">
        <v>13</v>
      </c>
      <c r="N39" s="12">
        <v>13</v>
      </c>
      <c r="O39">
        <v>8.3000000000000007</v>
      </c>
      <c r="P39">
        <v>0</v>
      </c>
      <c r="Q39">
        <v>22.2</v>
      </c>
      <c r="R39">
        <v>50</v>
      </c>
      <c r="S39" t="s">
        <v>33</v>
      </c>
      <c r="T39" s="12">
        <v>8.3000000000000007</v>
      </c>
      <c r="U39">
        <v>2.1</v>
      </c>
      <c r="V39" s="13">
        <v>1</v>
      </c>
    </row>
    <row r="40" spans="2:25" ht="31.5" x14ac:dyDescent="0.25">
      <c r="B40" s="6">
        <v>11</v>
      </c>
      <c r="C40" s="7">
        <v>1069</v>
      </c>
      <c r="D40" s="8"/>
      <c r="E40" s="9">
        <v>3</v>
      </c>
      <c r="F40" s="8" t="s">
        <v>56</v>
      </c>
      <c r="G40" s="7">
        <v>1</v>
      </c>
      <c r="H40" t="s">
        <v>23</v>
      </c>
      <c r="I40" s="10"/>
      <c r="J40" s="9">
        <v>48</v>
      </c>
      <c r="K40" s="9">
        <v>3</v>
      </c>
      <c r="L40" s="7">
        <v>26.7</v>
      </c>
      <c r="M40" s="12">
        <v>12</v>
      </c>
      <c r="N40" s="12">
        <v>12</v>
      </c>
      <c r="O40">
        <v>16.7</v>
      </c>
      <c r="P40">
        <v>2.8</v>
      </c>
      <c r="Q40">
        <v>0</v>
      </c>
      <c r="R40">
        <v>0</v>
      </c>
      <c r="S40" t="s">
        <v>33</v>
      </c>
      <c r="T40" s="12">
        <v>17</v>
      </c>
      <c r="U40">
        <v>1.23</v>
      </c>
      <c r="V40" s="13">
        <v>2.1</v>
      </c>
    </row>
    <row r="41" spans="2:25" ht="31.5" x14ac:dyDescent="0.25">
      <c r="B41" s="6">
        <v>19</v>
      </c>
      <c r="C41" s="7">
        <v>1158</v>
      </c>
      <c r="D41" s="8"/>
      <c r="E41" s="9">
        <v>3</v>
      </c>
      <c r="F41" s="8" t="s">
        <v>57</v>
      </c>
      <c r="G41" s="7">
        <v>2</v>
      </c>
      <c r="H41" t="s">
        <v>23</v>
      </c>
      <c r="I41" s="10"/>
      <c r="J41" s="9">
        <v>50</v>
      </c>
      <c r="K41" s="9">
        <v>9</v>
      </c>
      <c r="L41" s="7">
        <v>30.9</v>
      </c>
      <c r="M41" s="12">
        <v>12</v>
      </c>
      <c r="N41" s="12">
        <v>12</v>
      </c>
      <c r="O41">
        <v>4.2</v>
      </c>
      <c r="P41">
        <v>0</v>
      </c>
      <c r="Q41">
        <v>0</v>
      </c>
      <c r="R41">
        <v>0</v>
      </c>
      <c r="S41" t="s">
        <v>33</v>
      </c>
      <c r="T41" s="12">
        <v>4.9000000000000004</v>
      </c>
      <c r="U41">
        <v>1.83</v>
      </c>
      <c r="V41" s="13">
        <v>2.5</v>
      </c>
    </row>
    <row r="42" spans="2:25" ht="31.5" x14ac:dyDescent="0.25">
      <c r="B42" s="6">
        <v>44</v>
      </c>
      <c r="C42" s="7">
        <v>1583</v>
      </c>
      <c r="D42" s="8"/>
      <c r="E42" s="9">
        <v>3</v>
      </c>
      <c r="F42" s="8" t="s">
        <v>58</v>
      </c>
      <c r="G42" s="7">
        <v>1</v>
      </c>
      <c r="H42" t="s">
        <v>31</v>
      </c>
      <c r="I42" s="10"/>
      <c r="J42" s="9">
        <v>40</v>
      </c>
      <c r="K42" s="9">
        <v>3</v>
      </c>
      <c r="L42" s="7">
        <v>19.600000000000001</v>
      </c>
      <c r="M42" s="12">
        <v>12</v>
      </c>
      <c r="N42" s="12">
        <v>12</v>
      </c>
      <c r="O42">
        <v>12.5</v>
      </c>
      <c r="P42">
        <v>1.4</v>
      </c>
      <c r="Q42">
        <v>11.1</v>
      </c>
      <c r="R42">
        <v>0</v>
      </c>
      <c r="S42" t="s">
        <v>24</v>
      </c>
      <c r="T42" s="12">
        <v>19.899999999999999</v>
      </c>
      <c r="U42">
        <v>5.08</v>
      </c>
      <c r="V42" s="13">
        <v>2.1</v>
      </c>
    </row>
    <row r="43" spans="2:25" ht="31.5" x14ac:dyDescent="0.25">
      <c r="B43" s="6">
        <v>32</v>
      </c>
      <c r="C43" s="7">
        <v>1419</v>
      </c>
      <c r="D43" s="8"/>
      <c r="E43" s="9">
        <v>3</v>
      </c>
      <c r="F43" s="8" t="s">
        <v>59</v>
      </c>
      <c r="G43" s="7">
        <v>1</v>
      </c>
      <c r="H43" t="s">
        <v>31</v>
      </c>
      <c r="I43" s="10"/>
      <c r="J43" s="9">
        <v>22</v>
      </c>
      <c r="K43" s="9">
        <v>1</v>
      </c>
      <c r="L43" s="7">
        <v>24.8</v>
      </c>
      <c r="M43" s="12">
        <v>11</v>
      </c>
      <c r="N43" s="12">
        <v>11</v>
      </c>
      <c r="O43">
        <v>25</v>
      </c>
      <c r="P43">
        <v>13.8</v>
      </c>
      <c r="Q43">
        <v>11.1</v>
      </c>
      <c r="R43">
        <v>0</v>
      </c>
      <c r="S43" t="s">
        <v>24</v>
      </c>
      <c r="T43" s="12">
        <v>39.5</v>
      </c>
      <c r="U43">
        <v>1.49</v>
      </c>
      <c r="V43" s="13">
        <v>1</v>
      </c>
    </row>
    <row r="44" spans="2:25" ht="31.5" x14ac:dyDescent="0.25">
      <c r="B44" s="6">
        <v>40</v>
      </c>
      <c r="C44" s="7">
        <v>1544</v>
      </c>
      <c r="D44" s="8"/>
      <c r="E44" s="9">
        <v>3</v>
      </c>
      <c r="F44" s="8" t="s">
        <v>60</v>
      </c>
      <c r="G44" s="7">
        <v>1</v>
      </c>
      <c r="H44" t="s">
        <v>23</v>
      </c>
      <c r="I44" s="10"/>
      <c r="J44" s="9">
        <v>56</v>
      </c>
      <c r="K44" s="9">
        <v>4</v>
      </c>
      <c r="L44" s="7">
        <v>21</v>
      </c>
      <c r="M44" s="12">
        <v>11</v>
      </c>
      <c r="N44" s="12">
        <v>11</v>
      </c>
      <c r="O44">
        <v>22.2</v>
      </c>
      <c r="P44">
        <v>16.7</v>
      </c>
      <c r="Q44">
        <v>22.2</v>
      </c>
      <c r="R44">
        <v>25</v>
      </c>
      <c r="S44" t="s">
        <v>24</v>
      </c>
      <c r="T44" s="12">
        <v>17.2</v>
      </c>
      <c r="U44">
        <v>4.59</v>
      </c>
      <c r="V44" s="13">
        <v>3.6</v>
      </c>
    </row>
    <row r="45" spans="2:25" ht="31.5" x14ac:dyDescent="0.25">
      <c r="B45" s="6">
        <v>47</v>
      </c>
      <c r="C45" s="7">
        <v>1681</v>
      </c>
      <c r="D45" s="8"/>
      <c r="E45" s="9">
        <v>3</v>
      </c>
      <c r="F45" s="8" t="s">
        <v>60</v>
      </c>
      <c r="G45" s="7">
        <v>2</v>
      </c>
      <c r="H45" t="s">
        <v>23</v>
      </c>
      <c r="I45" s="10"/>
      <c r="J45" s="9">
        <v>59</v>
      </c>
      <c r="K45" s="9">
        <v>9</v>
      </c>
      <c r="L45" s="7">
        <v>28.4</v>
      </c>
      <c r="M45" s="12">
        <v>11</v>
      </c>
      <c r="N45" s="12">
        <v>11</v>
      </c>
      <c r="O45">
        <v>8.3000000000000007</v>
      </c>
      <c r="P45">
        <v>0</v>
      </c>
      <c r="Q45">
        <v>11.1</v>
      </c>
      <c r="R45">
        <v>25</v>
      </c>
      <c r="S45" t="s">
        <v>24</v>
      </c>
      <c r="T45" s="12">
        <v>17.2</v>
      </c>
      <c r="U45">
        <v>3.89</v>
      </c>
      <c r="V45" s="13">
        <v>2.5</v>
      </c>
    </row>
    <row r="46" spans="2:25" ht="31.5" x14ac:dyDescent="0.25">
      <c r="B46" s="6">
        <v>12</v>
      </c>
      <c r="C46" s="7">
        <v>1070</v>
      </c>
      <c r="D46" s="8"/>
      <c r="E46" s="9">
        <v>3</v>
      </c>
      <c r="F46" s="8" t="s">
        <v>61</v>
      </c>
      <c r="G46" s="7">
        <v>1</v>
      </c>
      <c r="H46" t="s">
        <v>23</v>
      </c>
      <c r="I46" s="10"/>
      <c r="J46" s="9">
        <v>26</v>
      </c>
      <c r="K46" s="9">
        <v>2</v>
      </c>
      <c r="L46" s="7">
        <v>24.2</v>
      </c>
      <c r="M46" s="12">
        <v>8</v>
      </c>
      <c r="N46" s="12">
        <v>8</v>
      </c>
      <c r="O46">
        <v>27.8</v>
      </c>
      <c r="P46">
        <v>11.1</v>
      </c>
      <c r="Q46">
        <v>22.2</v>
      </c>
      <c r="R46">
        <v>12.5</v>
      </c>
      <c r="S46" t="s">
        <v>24</v>
      </c>
      <c r="T46" s="12">
        <v>8.3000000000000007</v>
      </c>
      <c r="U46">
        <v>1.67</v>
      </c>
      <c r="V46" s="13">
        <v>1.5</v>
      </c>
    </row>
    <row r="47" spans="2:25" ht="31.5" x14ac:dyDescent="0.25">
      <c r="B47" s="6">
        <v>25</v>
      </c>
      <c r="C47" s="7">
        <v>1323</v>
      </c>
      <c r="D47" s="8"/>
      <c r="E47" s="9">
        <v>3</v>
      </c>
      <c r="F47" s="8" t="s">
        <v>62</v>
      </c>
      <c r="G47" s="7">
        <v>2</v>
      </c>
      <c r="H47" t="s">
        <v>63</v>
      </c>
      <c r="I47" s="10"/>
      <c r="J47" s="9">
        <v>27</v>
      </c>
      <c r="K47" s="9">
        <v>7</v>
      </c>
      <c r="L47" s="7">
        <v>29.9</v>
      </c>
      <c r="M47" s="12">
        <v>10</v>
      </c>
      <c r="N47" s="12">
        <v>10</v>
      </c>
      <c r="O47">
        <v>4.2</v>
      </c>
      <c r="P47">
        <v>0</v>
      </c>
      <c r="Q47">
        <v>5.6</v>
      </c>
      <c r="R47">
        <v>0</v>
      </c>
      <c r="S47" t="s">
        <v>24</v>
      </c>
      <c r="T47" s="12">
        <v>39.5</v>
      </c>
      <c r="U47">
        <v>1.1299999999999999</v>
      </c>
      <c r="V47" s="13">
        <v>1.1000000000000001</v>
      </c>
    </row>
    <row r="48" spans="2:25" ht="31.5" x14ac:dyDescent="0.25">
      <c r="B48" s="6">
        <v>31</v>
      </c>
      <c r="C48" s="7">
        <v>1408</v>
      </c>
      <c r="D48" s="8"/>
      <c r="E48" s="9">
        <v>3</v>
      </c>
      <c r="F48" s="8" t="s">
        <v>64</v>
      </c>
      <c r="G48" s="7">
        <v>1</v>
      </c>
      <c r="H48" t="s">
        <v>23</v>
      </c>
      <c r="I48" s="10"/>
      <c r="J48" s="9">
        <v>52</v>
      </c>
      <c r="K48" s="9">
        <v>4</v>
      </c>
      <c r="L48" s="7">
        <v>29.1</v>
      </c>
      <c r="M48" s="12">
        <v>9</v>
      </c>
      <c r="N48" s="12">
        <v>9</v>
      </c>
      <c r="O48">
        <v>0</v>
      </c>
      <c r="P48">
        <v>0</v>
      </c>
      <c r="Q48">
        <v>0</v>
      </c>
      <c r="R48">
        <v>0</v>
      </c>
      <c r="S48" t="s">
        <v>33</v>
      </c>
      <c r="T48" s="12">
        <v>5.2</v>
      </c>
      <c r="U48">
        <v>17.899999999999999</v>
      </c>
      <c r="V48" s="13">
        <v>3.6</v>
      </c>
    </row>
    <row r="49" spans="2:25" ht="31.5" x14ac:dyDescent="0.25">
      <c r="B49" s="6">
        <v>1</v>
      </c>
      <c r="C49" s="7">
        <v>1019</v>
      </c>
      <c r="D49" s="8"/>
      <c r="E49" s="9">
        <v>3</v>
      </c>
      <c r="F49" s="8" t="s">
        <v>65</v>
      </c>
      <c r="G49" s="7">
        <v>1</v>
      </c>
      <c r="H49" t="s">
        <v>23</v>
      </c>
      <c r="I49" s="10"/>
      <c r="J49" s="9">
        <v>50</v>
      </c>
      <c r="K49" s="9">
        <v>4</v>
      </c>
      <c r="L49" s="7">
        <v>26.2</v>
      </c>
      <c r="M49" s="12">
        <v>8</v>
      </c>
      <c r="N49" s="12">
        <v>8</v>
      </c>
      <c r="O49">
        <v>0</v>
      </c>
      <c r="P49">
        <v>0</v>
      </c>
      <c r="Q49">
        <v>0</v>
      </c>
      <c r="R49">
        <v>0</v>
      </c>
      <c r="S49" t="s">
        <v>33</v>
      </c>
      <c r="T49" s="12">
        <v>7.8</v>
      </c>
      <c r="U49">
        <v>2.73</v>
      </c>
      <c r="V49" s="13">
        <v>3.6</v>
      </c>
    </row>
    <row r="50" spans="2:25" ht="31.5" x14ac:dyDescent="0.25">
      <c r="B50" s="6">
        <v>26</v>
      </c>
      <c r="C50" s="7">
        <v>1338</v>
      </c>
      <c r="D50" s="8"/>
      <c r="E50" s="9">
        <v>3</v>
      </c>
      <c r="F50" s="8" t="s">
        <v>66</v>
      </c>
      <c r="G50" s="7">
        <v>2</v>
      </c>
      <c r="H50" t="s">
        <v>23</v>
      </c>
      <c r="I50" s="10"/>
      <c r="J50" s="9">
        <v>57</v>
      </c>
      <c r="K50" s="9">
        <v>9</v>
      </c>
      <c r="L50" s="7">
        <v>25.1</v>
      </c>
      <c r="M50" s="12">
        <v>8</v>
      </c>
      <c r="N50" s="12">
        <v>8</v>
      </c>
      <c r="O50">
        <v>8.3000000000000007</v>
      </c>
      <c r="P50">
        <v>3.5</v>
      </c>
      <c r="Q50">
        <v>5.6</v>
      </c>
      <c r="R50">
        <v>25</v>
      </c>
      <c r="S50" t="s">
        <v>24</v>
      </c>
      <c r="T50" s="12">
        <v>10.4</v>
      </c>
      <c r="U50">
        <v>2.0499999999999998</v>
      </c>
      <c r="V50" s="13">
        <v>2.5</v>
      </c>
    </row>
    <row r="51" spans="2:25" ht="31.5" x14ac:dyDescent="0.25">
      <c r="B51" s="6">
        <v>35</v>
      </c>
      <c r="C51" s="7">
        <v>1452</v>
      </c>
      <c r="D51" s="8"/>
      <c r="E51" s="9">
        <v>3</v>
      </c>
      <c r="F51" s="8" t="s">
        <v>67</v>
      </c>
      <c r="G51" s="7">
        <v>1</v>
      </c>
      <c r="H51" t="s">
        <v>23</v>
      </c>
      <c r="I51" s="10"/>
      <c r="J51" s="9">
        <v>52</v>
      </c>
      <c r="K51" s="9">
        <v>4</v>
      </c>
      <c r="L51" s="7">
        <v>31.7</v>
      </c>
      <c r="M51" s="12">
        <v>10</v>
      </c>
      <c r="N51" s="12">
        <v>10</v>
      </c>
      <c r="O51">
        <v>8.3000000000000007</v>
      </c>
      <c r="P51">
        <v>20.8</v>
      </c>
      <c r="Q51">
        <v>22.2</v>
      </c>
      <c r="R51">
        <v>0</v>
      </c>
      <c r="S51" t="s">
        <v>24</v>
      </c>
      <c r="T51" s="12">
        <v>16.600000000000001</v>
      </c>
      <c r="U51">
        <v>3.73</v>
      </c>
      <c r="V51" s="13">
        <v>3.6</v>
      </c>
    </row>
    <row r="52" spans="2:25" ht="31.5" x14ac:dyDescent="0.25">
      <c r="B52" s="6">
        <v>38</v>
      </c>
      <c r="C52" s="7">
        <v>1493</v>
      </c>
      <c r="D52" s="8"/>
      <c r="E52" s="9">
        <v>3</v>
      </c>
      <c r="F52" s="8" t="s">
        <v>68</v>
      </c>
      <c r="G52" s="7">
        <v>2</v>
      </c>
      <c r="H52" t="s">
        <v>23</v>
      </c>
      <c r="I52" s="10"/>
      <c r="J52" s="9">
        <v>47</v>
      </c>
      <c r="K52" s="9">
        <v>8</v>
      </c>
      <c r="L52" s="7">
        <v>26.7</v>
      </c>
      <c r="M52" s="12">
        <v>7</v>
      </c>
      <c r="N52" s="12">
        <v>7</v>
      </c>
      <c r="O52">
        <v>25</v>
      </c>
      <c r="P52">
        <v>8.3000000000000007</v>
      </c>
      <c r="Q52">
        <v>0</v>
      </c>
      <c r="R52">
        <v>0</v>
      </c>
      <c r="S52" t="s">
        <v>24</v>
      </c>
      <c r="T52" s="12">
        <v>2.5</v>
      </c>
      <c r="U52">
        <v>2.35</v>
      </c>
      <c r="V52" s="13">
        <v>1.4</v>
      </c>
    </row>
    <row r="53" spans="2:25" ht="31.5" x14ac:dyDescent="0.25">
      <c r="B53" s="6">
        <v>36</v>
      </c>
      <c r="C53" s="7">
        <v>1453</v>
      </c>
      <c r="D53" s="8"/>
      <c r="E53" s="9">
        <v>3</v>
      </c>
      <c r="F53" s="8" t="s">
        <v>69</v>
      </c>
      <c r="G53" s="7">
        <v>2</v>
      </c>
      <c r="H53" t="s">
        <v>23</v>
      </c>
      <c r="I53" s="10"/>
      <c r="J53" s="9">
        <v>41</v>
      </c>
      <c r="K53" s="9">
        <v>8</v>
      </c>
      <c r="L53" s="7">
        <v>29.6</v>
      </c>
      <c r="M53" s="12">
        <v>6</v>
      </c>
      <c r="N53" s="12">
        <v>6</v>
      </c>
      <c r="O53">
        <v>0</v>
      </c>
      <c r="P53">
        <v>0</v>
      </c>
      <c r="Q53">
        <v>0</v>
      </c>
      <c r="R53">
        <v>0</v>
      </c>
      <c r="S53" t="s">
        <v>38</v>
      </c>
      <c r="T53" s="12">
        <v>5.9</v>
      </c>
      <c r="U53">
        <v>1.93</v>
      </c>
      <c r="V53" s="13">
        <v>1.4</v>
      </c>
    </row>
    <row r="54" spans="2:25" ht="31.5" x14ac:dyDescent="0.25">
      <c r="B54" s="6">
        <v>34</v>
      </c>
      <c r="C54" s="7">
        <v>1444</v>
      </c>
      <c r="D54" s="8"/>
      <c r="E54" s="9">
        <v>3</v>
      </c>
      <c r="F54" s="8" t="s">
        <v>70</v>
      </c>
      <c r="G54" s="7">
        <v>1</v>
      </c>
      <c r="H54" t="s">
        <v>23</v>
      </c>
      <c r="I54" s="10"/>
      <c r="J54" s="9">
        <v>28</v>
      </c>
      <c r="K54" s="9">
        <v>2</v>
      </c>
      <c r="L54" s="7">
        <v>30.3</v>
      </c>
      <c r="M54" s="12">
        <v>6</v>
      </c>
      <c r="N54" s="12">
        <v>6</v>
      </c>
      <c r="O54">
        <v>16.7</v>
      </c>
      <c r="P54">
        <v>5.6</v>
      </c>
      <c r="Q54">
        <v>22.2</v>
      </c>
      <c r="R54">
        <v>0</v>
      </c>
      <c r="S54" t="s">
        <v>24</v>
      </c>
      <c r="T54" s="12">
        <v>16.600000000000001</v>
      </c>
      <c r="U54">
        <v>0.94</v>
      </c>
      <c r="V54" s="13">
        <v>1.5</v>
      </c>
    </row>
    <row r="55" spans="2:25" ht="31.5" x14ac:dyDescent="0.25">
      <c r="B55" s="6">
        <v>27</v>
      </c>
      <c r="C55" s="7">
        <v>1345</v>
      </c>
      <c r="D55" s="8"/>
      <c r="E55" s="9">
        <v>3</v>
      </c>
      <c r="F55" s="8" t="s">
        <v>71</v>
      </c>
      <c r="G55" s="7">
        <v>1</v>
      </c>
      <c r="H55" t="s">
        <v>23</v>
      </c>
      <c r="I55" s="10"/>
      <c r="J55" s="9">
        <v>28</v>
      </c>
      <c r="K55" s="9">
        <v>2</v>
      </c>
      <c r="L55" s="7">
        <v>24.6</v>
      </c>
      <c r="M55" s="12">
        <v>3</v>
      </c>
      <c r="N55" s="12">
        <v>3</v>
      </c>
      <c r="O55">
        <v>0.7</v>
      </c>
      <c r="P55">
        <v>0</v>
      </c>
      <c r="Q55">
        <v>1.4</v>
      </c>
      <c r="R55">
        <v>0</v>
      </c>
      <c r="S55" t="s">
        <v>38</v>
      </c>
      <c r="T55" s="12">
        <v>41.6</v>
      </c>
      <c r="U55">
        <v>1.1399999999999999</v>
      </c>
      <c r="V55" s="13">
        <v>1.5</v>
      </c>
    </row>
    <row r="56" spans="2:25" ht="31.5" x14ac:dyDescent="0.25">
      <c r="B56" s="6">
        <v>48</v>
      </c>
      <c r="C56" s="18">
        <v>1690</v>
      </c>
      <c r="D56" s="8"/>
      <c r="E56" s="9">
        <v>3</v>
      </c>
      <c r="F56" s="8" t="s">
        <v>71</v>
      </c>
      <c r="G56" s="2">
        <v>1</v>
      </c>
      <c r="H56" t="s">
        <v>23</v>
      </c>
      <c r="I56" s="10"/>
      <c r="J56" s="9">
        <v>27</v>
      </c>
      <c r="K56" s="9">
        <v>2</v>
      </c>
      <c r="L56" s="2">
        <v>37.1</v>
      </c>
      <c r="M56" s="12">
        <v>3</v>
      </c>
      <c r="N56" s="12">
        <v>3</v>
      </c>
      <c r="O56">
        <v>0</v>
      </c>
      <c r="P56">
        <v>0</v>
      </c>
      <c r="Q56">
        <v>0</v>
      </c>
      <c r="R56">
        <v>0</v>
      </c>
      <c r="S56" t="s">
        <v>33</v>
      </c>
      <c r="T56" s="12">
        <v>22.4</v>
      </c>
      <c r="U56">
        <v>1.35</v>
      </c>
      <c r="V56" s="13">
        <v>1.5</v>
      </c>
    </row>
    <row r="57" spans="2:25" ht="31.5" x14ac:dyDescent="0.25">
      <c r="B57" s="6">
        <v>23</v>
      </c>
      <c r="C57" s="7">
        <v>1288</v>
      </c>
      <c r="D57" s="8"/>
      <c r="E57" s="9">
        <v>3</v>
      </c>
      <c r="F57" s="8" t="s">
        <v>72</v>
      </c>
      <c r="G57" s="7">
        <v>2</v>
      </c>
      <c r="H57" t="s">
        <v>23</v>
      </c>
      <c r="I57" s="10"/>
      <c r="J57" s="9">
        <v>29</v>
      </c>
      <c r="K57" s="9">
        <v>7</v>
      </c>
      <c r="L57" s="7">
        <v>35.299999999999997</v>
      </c>
      <c r="M57" s="12">
        <v>3</v>
      </c>
      <c r="N57" s="12">
        <v>3</v>
      </c>
      <c r="O57">
        <v>0</v>
      </c>
      <c r="P57">
        <v>0</v>
      </c>
      <c r="Q57">
        <v>0</v>
      </c>
      <c r="R57">
        <v>0</v>
      </c>
      <c r="S57" t="s">
        <v>24</v>
      </c>
      <c r="T57" s="12">
        <v>22.4</v>
      </c>
      <c r="U57">
        <v>2.19</v>
      </c>
      <c r="V57" s="13">
        <v>1.1000000000000001</v>
      </c>
    </row>
    <row r="58" spans="2:25" ht="31.5" x14ac:dyDescent="0.25">
      <c r="B58" s="6">
        <v>22</v>
      </c>
      <c r="C58" s="7">
        <v>1281</v>
      </c>
      <c r="D58" s="8"/>
      <c r="E58" s="9">
        <v>3</v>
      </c>
      <c r="F58" s="8" t="s">
        <v>73</v>
      </c>
      <c r="G58" s="7">
        <v>1</v>
      </c>
      <c r="H58" t="s">
        <v>23</v>
      </c>
      <c r="I58" s="10"/>
      <c r="J58" s="9">
        <v>59</v>
      </c>
      <c r="K58" s="9">
        <v>4</v>
      </c>
      <c r="L58" s="7">
        <v>27.3</v>
      </c>
      <c r="M58" s="12">
        <v>3</v>
      </c>
      <c r="N58" s="12">
        <v>3</v>
      </c>
      <c r="O58">
        <v>25.7</v>
      </c>
      <c r="P58">
        <v>0.7</v>
      </c>
      <c r="Q58">
        <v>22.2</v>
      </c>
      <c r="R58">
        <v>0</v>
      </c>
      <c r="S58" t="s">
        <v>24</v>
      </c>
      <c r="T58" s="12">
        <v>34.200000000000003</v>
      </c>
      <c r="U58">
        <v>2.98</v>
      </c>
      <c r="V58" s="11">
        <v>3.6</v>
      </c>
    </row>
    <row r="60" spans="2:25" x14ac:dyDescent="0.25">
      <c r="X60" s="16">
        <f>AVERAGE(X7:X58)</f>
        <v>11.742857142857144</v>
      </c>
      <c r="Y60" s="16">
        <f>AVERAGE(Y7:Y58)</f>
        <v>0.9177777777777778</v>
      </c>
    </row>
    <row r="61" spans="2:25" x14ac:dyDescent="0.25">
      <c r="X61">
        <f>COUNT(X7:X58)</f>
        <v>14</v>
      </c>
      <c r="Y61">
        <f>COUNT(Y7:Y58)</f>
        <v>9</v>
      </c>
    </row>
    <row r="63" spans="2:25" x14ac:dyDescent="0.25">
      <c r="X63" t="s">
        <v>74</v>
      </c>
      <c r="Y63" t="s">
        <v>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Andrew Gibbs</dc:creator>
  <cp:lastModifiedBy>Andrew Gibbs</cp:lastModifiedBy>
  <dcterms:created xsi:type="dcterms:W3CDTF">2025-02-26T10:28:24Z</dcterms:created>
  <dcterms:modified xsi:type="dcterms:W3CDTF">2025-03-14T03:13:25Z</dcterms:modified>
</cp:coreProperties>
</file>