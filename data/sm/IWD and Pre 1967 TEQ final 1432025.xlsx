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515eae5a95b26/Documents/S and M 1432025/Smoke and Mirrors/"/>
    </mc:Choice>
  </mc:AlternateContent>
  <xr:revisionPtr revIDLastSave="1" documentId="8_{CB66C648-28FD-496B-A66F-04B5FD56D510}" xr6:coauthVersionLast="47" xr6:coauthVersionMax="47" xr10:uidLastSave="{6397EF36-CBAB-414E-A261-49EA3302E796}"/>
  <bookViews>
    <workbookView xWindow="-120" yWindow="-120" windowWidth="29040" windowHeight="15720" xr2:uid="{031CE841-D74B-467F-9D50-78F2DB8BCCAF}"/>
  </bookViews>
  <sheets>
    <sheet name="TEQ in Appendix O and correct" sheetId="2" r:id="rId1"/>
    <sheet name="Appendix O 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0" i="2" l="1"/>
  <c r="BJ46" i="2"/>
  <c r="BI46" i="2"/>
  <c r="BF46" i="2"/>
  <c r="BE46" i="2"/>
  <c r="BD46" i="2"/>
  <c r="BB46" i="2"/>
  <c r="BA46" i="2"/>
  <c r="AZ46" i="2"/>
  <c r="AY46" i="2"/>
  <c r="AW46" i="2"/>
  <c r="BL46" i="2" s="1"/>
  <c r="BL45" i="2"/>
  <c r="X153" i="2"/>
  <c r="W153" i="2"/>
  <c r="U153" i="2"/>
  <c r="X151" i="2"/>
  <c r="Y151" i="2" s="1"/>
  <c r="Y150" i="2"/>
  <c r="X150" i="2"/>
  <c r="X149" i="2"/>
  <c r="Y149" i="2" s="1"/>
  <c r="X148" i="2"/>
  <c r="Y148" i="2" s="1"/>
  <c r="X147" i="2"/>
  <c r="Y147" i="2" s="1"/>
  <c r="Y146" i="2"/>
  <c r="X146" i="2"/>
  <c r="AL139" i="2"/>
  <c r="AL138" i="2"/>
  <c r="AL137" i="2"/>
  <c r="AL136" i="2"/>
  <c r="AL135" i="2"/>
  <c r="AL134" i="2"/>
  <c r="AL133" i="2"/>
  <c r="AL132" i="2"/>
  <c r="AL131" i="2"/>
  <c r="AL130" i="2"/>
  <c r="AL142" i="2"/>
  <c r="AL126" i="2"/>
  <c r="AP61" i="2"/>
  <c r="AP60" i="2"/>
  <c r="AI50" i="2"/>
  <c r="AI42" i="2"/>
  <c r="AI38" i="2"/>
  <c r="AI25" i="2"/>
  <c r="AI23" i="2"/>
  <c r="AI22" i="2"/>
  <c r="AI21" i="2"/>
  <c r="AI20" i="2"/>
  <c r="AI10" i="2"/>
  <c r="AI7" i="2"/>
  <c r="AN50" i="2"/>
  <c r="AJ42" i="2"/>
  <c r="AN42" i="2" s="1"/>
  <c r="AJ38" i="2"/>
  <c r="AN38" i="2" s="1"/>
  <c r="AJ25" i="2"/>
  <c r="AN25" i="2" s="1"/>
  <c r="AJ23" i="2"/>
  <c r="AN23" i="2" s="1"/>
  <c r="AJ22" i="2"/>
  <c r="AN22" i="2" s="1"/>
  <c r="AJ21" i="2"/>
  <c r="AN21" i="2" s="1"/>
  <c r="AJ20" i="2"/>
  <c r="AN20" i="2" s="1"/>
  <c r="AJ10" i="2"/>
  <c r="AN10" i="2" s="1"/>
  <c r="AJ7" i="2"/>
  <c r="AN7" i="2" s="1"/>
  <c r="Y154" i="2" l="1"/>
  <c r="Y156" i="2"/>
  <c r="Y155" i="2"/>
  <c r="AN61" i="2"/>
  <c r="AN60" i="2"/>
</calcChain>
</file>

<file path=xl/sharedStrings.xml><?xml version="1.0" encoding="utf-8"?>
<sst xmlns="http://schemas.openxmlformats.org/spreadsheetml/2006/main" count="318" uniqueCount="124">
  <si>
    <t>2,3,7,8-TetraCDD</t>
  </si>
  <si>
    <t>1,2,3,7,8-PentaCDD</t>
  </si>
  <si>
    <t>1,2,3,4,7,8-HexaCDD</t>
  </si>
  <si>
    <t>1,2,3,6,7,8-HexaCDD</t>
  </si>
  <si>
    <t>1,2,3,7,8,9-HexaCDD</t>
  </si>
  <si>
    <t>1;2,3,4;6,7,8-HeptaCDD</t>
  </si>
  <si>
    <t>OCDD</t>
  </si>
  <si>
    <t>2,3,7,8-TetraCDF</t>
  </si>
  <si>
    <t>1,2,3,7,8-PentaCDF</t>
  </si>
  <si>
    <t>2,3,4,7,8-PentaCDF</t>
  </si>
  <si>
    <t>1,2,3,4,7,8-HexaCDF</t>
  </si>
  <si>
    <t>1,2,3,6,7,8-HexaCDF</t>
  </si>
  <si>
    <t>1,2,3,7,8,9-HexaCDF</t>
  </si>
  <si>
    <t>2,3,4,6,7,8-HexaCDF</t>
  </si>
  <si>
    <t>1,2,3,4,6,7,8-HeptaCDF</t>
  </si>
  <si>
    <t>1,2,3,4,7,8,9-HeptaCDF</t>
  </si>
  <si>
    <t>OCDF</t>
  </si>
  <si>
    <t>156/7</t>
  </si>
  <si>
    <t>IWD F (n43)</t>
  </si>
  <si>
    <t>IWD M (n141)</t>
  </si>
  <si>
    <t>Summary of Key Statistics - all Paritutu Dioxin Study Participants</t>
  </si>
  <si>
    <t>ID No.</t>
  </si>
  <si>
    <t>Address</t>
  </si>
  <si>
    <t>Phase</t>
  </si>
  <si>
    <t>Yrs resident</t>
  </si>
  <si>
    <t>Gender</t>
  </si>
  <si>
    <t>ethnic</t>
  </si>
  <si>
    <t>DOB</t>
  </si>
  <si>
    <t>Age in 1997</t>
  </si>
  <si>
    <t>agegroup</t>
  </si>
  <si>
    <t>BMI</t>
  </si>
  <si>
    <t>Duration of Residence 1962-1987</t>
  </si>
  <si>
    <t>Duration of Residence since 1974</t>
  </si>
  <si>
    <t>% Exposed produce</t>
  </si>
  <si>
    <t>% protected produce</t>
  </si>
  <si>
    <t>% root Vegies</t>
  </si>
  <si>
    <t>% poultry</t>
  </si>
  <si>
    <t>Consumed local fish/shellfish?</t>
  </si>
  <si>
    <t>Soil TCDD</t>
  </si>
  <si>
    <t>Serum TCDD</t>
  </si>
  <si>
    <t>Serum TEQ</t>
  </si>
  <si>
    <t>1979-1989</t>
  </si>
  <si>
    <t>Euro</t>
  </si>
  <si>
    <t>no</t>
  </si>
  <si>
    <t>1965-1972</t>
  </si>
  <si>
    <t>yes</t>
  </si>
  <si>
    <t>1968-1990</t>
  </si>
  <si>
    <t>1967-1974</t>
  </si>
  <si>
    <t>1966-1990</t>
  </si>
  <si>
    <t>1970-1975</t>
  </si>
  <si>
    <t>1967-1986</t>
  </si>
  <si>
    <t>1975-1988</t>
  </si>
  <si>
    <t>1977-1985</t>
  </si>
  <si>
    <t>1970-1973</t>
  </si>
  <si>
    <t>1960-2003</t>
  </si>
  <si>
    <t>1938-2003</t>
  </si>
  <si>
    <t>1952-2003</t>
  </si>
  <si>
    <t>yesyes</t>
  </si>
  <si>
    <t>1975-1990</t>
  </si>
  <si>
    <t>1965-2003</t>
  </si>
  <si>
    <t>unsure</t>
  </si>
  <si>
    <t>1974-1990</t>
  </si>
  <si>
    <t>1984-1995</t>
  </si>
  <si>
    <t>1984-1990</t>
  </si>
  <si>
    <t>1967-2003</t>
  </si>
  <si>
    <t>1977-2003</t>
  </si>
  <si>
    <t>Samoan</t>
  </si>
  <si>
    <t>1979-2003</t>
  </si>
  <si>
    <t>1984-1988</t>
  </si>
  <si>
    <t>1953-2002</t>
  </si>
  <si>
    <t>1973-1980</t>
  </si>
  <si>
    <t>1978-1988</t>
  </si>
  <si>
    <t>1976-1989</t>
  </si>
  <si>
    <t>Maori</t>
  </si>
  <si>
    <t>1981-1988</t>
  </si>
  <si>
    <t>1980-1990</t>
  </si>
  <si>
    <t>1981-1987</t>
  </si>
  <si>
    <t>1960-1996</t>
  </si>
  <si>
    <t>1980-2003</t>
  </si>
  <si>
    <t>1954-1975</t>
  </si>
  <si>
    <t>1976-2003</t>
  </si>
  <si>
    <t>1973-1981</t>
  </si>
  <si>
    <t>1968-1974</t>
  </si>
  <si>
    <t>Euro/Maori</t>
  </si>
  <si>
    <t>1975-1992</t>
  </si>
  <si>
    <t>1954-2003</t>
  </si>
  <si>
    <t>1971-1977</t>
  </si>
  <si>
    <t>1968-1981</t>
  </si>
  <si>
    <t>1973-1993</t>
  </si>
  <si>
    <t>1952-1974</t>
  </si>
  <si>
    <t>1974-1991</t>
  </si>
  <si>
    <t>MfE background TCDD in 1997</t>
  </si>
  <si>
    <t>MfE upper 95% TCDD 1997</t>
  </si>
  <si>
    <t>IWD Synthesis (n60)</t>
  </si>
  <si>
    <t>OK</t>
  </si>
  <si>
    <t>Page 1</t>
  </si>
  <si>
    <t>Page 2</t>
  </si>
  <si>
    <t>Page 3</t>
  </si>
  <si>
    <t>List PCBs 77 and 81 as PCB 3 and 4 TEQ</t>
  </si>
  <si>
    <t>Lists PCB 3 and 4 TEQ as DX/DF/PCB TEQs</t>
  </si>
  <si>
    <t>Page 2 errata</t>
  </si>
  <si>
    <t>Page 1 list PCB 189 after TEQs</t>
  </si>
  <si>
    <t>Error on page one not mentioned or corrected PCB 189 beneath PCB TEQ 3 and 4</t>
  </si>
  <si>
    <t>Error on page three not mentioned or corrected PCB TEQ 3 and 4</t>
  </si>
  <si>
    <t>are above PCB 189 and TEQ 3 and 4 are in fact PCB 77 and 81</t>
  </si>
  <si>
    <t>Error on page 2 not corrected PCB TEQ 3 and 4 as noted are above PCB 189</t>
  </si>
  <si>
    <t>However PCB TEQ 3 and 4 when correctly labelled are PCB 77 and 81 and</t>
  </si>
  <si>
    <t>total TEQs (PCDD/F + PCB) are the PCB TEQ 3 and 4</t>
  </si>
  <si>
    <t>As in Appendix O</t>
  </si>
  <si>
    <t>Corrected</t>
  </si>
  <si>
    <t>IWD</t>
  </si>
  <si>
    <t>mean</t>
  </si>
  <si>
    <t>min</t>
  </si>
  <si>
    <t>max</t>
  </si>
  <si>
    <t>Appendix O</t>
  </si>
  <si>
    <t>reported</t>
  </si>
  <si>
    <t>correct</t>
  </si>
  <si>
    <t>TEQ Mean</t>
  </si>
  <si>
    <t>Correct</t>
  </si>
  <si>
    <t>subjects</t>
  </si>
  <si>
    <t>pg2</t>
  </si>
  <si>
    <t>pg3</t>
  </si>
  <si>
    <t>pg1</t>
  </si>
  <si>
    <t>calcs to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</si>
</sst>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B050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horizontal="center" vertical="top" wrapText="1"/>
    </xf>
    <xf numFmtId="14" fontId="0" fillId="0" borderId="0" xfId="0" applyNumberFormat="1"/>
    <xf numFmtId="164" fontId="3" fillId="0" borderId="3" xfId="0" applyNumberFormat="1" applyFont="1" applyBorder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/>
    <xf numFmtId="164" fontId="3" fillId="0" borderId="4" xfId="0" applyNumberFormat="1" applyFont="1" applyBorder="1" applyAlignment="1">
      <alignment vertical="top" wrapText="1"/>
    </xf>
    <xf numFmtId="1" fontId="3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0" fillId="0" borderId="4" xfId="0" applyBorder="1"/>
    <xf numFmtId="1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164" fontId="0" fillId="0" borderId="0" xfId="0" applyNumberFormat="1"/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image" Target="../media/image18.emf"/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12" Type="http://schemas.openxmlformats.org/officeDocument/2006/relationships/image" Target="../media/image17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11" Type="http://schemas.openxmlformats.org/officeDocument/2006/relationships/image" Target="../media/image16.emf"/><Relationship Id="rId5" Type="http://schemas.openxmlformats.org/officeDocument/2006/relationships/image" Target="../media/image10.emf"/><Relationship Id="rId10" Type="http://schemas.openxmlformats.org/officeDocument/2006/relationships/image" Target="../media/image15.emf"/><Relationship Id="rId4" Type="http://schemas.openxmlformats.org/officeDocument/2006/relationships/image" Target="../media/image9.emf"/><Relationship Id="rId9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238125</xdr:colOff>
      <xdr:row>95</xdr:row>
      <xdr:rowOff>66675</xdr:rowOff>
    </xdr:from>
    <xdr:to>
      <xdr:col>59</xdr:col>
      <xdr:colOff>76200</xdr:colOff>
      <xdr:row>135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A62CF-C892-B9A3-E1C2-FFEE13161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08525" y="29870400"/>
          <a:ext cx="5934075" cy="767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257175</xdr:colOff>
      <xdr:row>98</xdr:row>
      <xdr:rowOff>128270</xdr:rowOff>
    </xdr:from>
    <xdr:to>
      <xdr:col>48</xdr:col>
      <xdr:colOff>168275</xdr:colOff>
      <xdr:row>130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058EBD-6D4E-C7F2-3FB7-CB8786B3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5275" y="29592270"/>
          <a:ext cx="4787900" cy="5647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6350</xdr:colOff>
      <xdr:row>89</xdr:row>
      <xdr:rowOff>82550</xdr:rowOff>
    </xdr:from>
    <xdr:to>
      <xdr:col>38</xdr:col>
      <xdr:colOff>79375</xdr:colOff>
      <xdr:row>109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C555A6-08EE-E140-31B0-A75583254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3150" y="28390850"/>
          <a:ext cx="4178300" cy="37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180975</xdr:colOff>
      <xdr:row>138</xdr:row>
      <xdr:rowOff>38100</xdr:rowOff>
    </xdr:from>
    <xdr:to>
      <xdr:col>46</xdr:col>
      <xdr:colOff>552450</xdr:colOff>
      <xdr:row>169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6980D6-6F2B-2418-DBA0-3F52663BD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64975" y="38033325"/>
          <a:ext cx="4029075" cy="602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181</xdr:row>
      <xdr:rowOff>0</xdr:rowOff>
    </xdr:from>
    <xdr:to>
      <xdr:col>57</xdr:col>
      <xdr:colOff>409575</xdr:colOff>
      <xdr:row>225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F3CC4A-0A65-456F-99F8-FADF7A08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13075" y="46186725"/>
          <a:ext cx="7724775" cy="844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55563</xdr:colOff>
      <xdr:row>14</xdr:row>
      <xdr:rowOff>95250</xdr:rowOff>
    </xdr:from>
    <xdr:to>
      <xdr:col>19</xdr:col>
      <xdr:colOff>427038</xdr:colOff>
      <xdr:row>15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0712B3-6D06-0E46-74BC-63501F9A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4563" y="2762250"/>
          <a:ext cx="2205038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</xdr:colOff>
      <xdr:row>29</xdr:row>
      <xdr:rowOff>184149</xdr:rowOff>
    </xdr:from>
    <xdr:to>
      <xdr:col>19</xdr:col>
      <xdr:colOff>419100</xdr:colOff>
      <xdr:row>33</xdr:row>
      <xdr:rowOff>98424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E92181-043F-042A-8779-EB8779E7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8525" y="5708649"/>
          <a:ext cx="2243138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31749</xdr:colOff>
      <xdr:row>27</xdr:row>
      <xdr:rowOff>158750</xdr:rowOff>
    </xdr:from>
    <xdr:to>
      <xdr:col>19</xdr:col>
      <xdr:colOff>479424</xdr:colOff>
      <xdr:row>28</xdr:row>
      <xdr:rowOff>187325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C1AC2F-B627-8153-CF3C-D98DFA51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49" y="5302250"/>
          <a:ext cx="2281238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7938</xdr:colOff>
      <xdr:row>10</xdr:row>
      <xdr:rowOff>71438</xdr:rowOff>
    </xdr:from>
    <xdr:to>
      <xdr:col>19</xdr:col>
      <xdr:colOff>455613</xdr:colOff>
      <xdr:row>11</xdr:row>
      <xdr:rowOff>147638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4E77EC-1873-AD5E-BFF9-0D1B8052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6938" y="1976438"/>
          <a:ext cx="2281238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15875</xdr:colOff>
      <xdr:row>10</xdr:row>
      <xdr:rowOff>63500</xdr:rowOff>
    </xdr:from>
    <xdr:to>
      <xdr:col>11</xdr:col>
      <xdr:colOff>577850</xdr:colOff>
      <xdr:row>13</xdr:row>
      <xdr:rowOff>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9CF449-6F56-1383-8052-6B9648A2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1968500"/>
          <a:ext cx="4840288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15875</xdr:colOff>
      <xdr:row>14</xdr:row>
      <xdr:rowOff>71437</xdr:rowOff>
    </xdr:from>
    <xdr:to>
      <xdr:col>11</xdr:col>
      <xdr:colOff>539750</xdr:colOff>
      <xdr:row>15</xdr:row>
      <xdr:rowOff>138112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5DB038-11CE-716B-F08E-ACFD5E38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2738437"/>
          <a:ext cx="4802188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15875</xdr:colOff>
      <xdr:row>29</xdr:row>
      <xdr:rowOff>182562</xdr:rowOff>
    </xdr:from>
    <xdr:to>
      <xdr:col>11</xdr:col>
      <xdr:colOff>577850</xdr:colOff>
      <xdr:row>31</xdr:row>
      <xdr:rowOff>58737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08FF0E7-7E14-2983-612F-1DA29D30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5707062"/>
          <a:ext cx="4840288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7937</xdr:colOff>
      <xdr:row>32</xdr:row>
      <xdr:rowOff>55562</xdr:rowOff>
    </xdr:from>
    <xdr:to>
      <xdr:col>11</xdr:col>
      <xdr:colOff>531812</xdr:colOff>
      <xdr:row>35</xdr:row>
      <xdr:rowOff>160337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221F5AD-197D-C0E2-E586-A96AA143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2687" y="6151562"/>
          <a:ext cx="4802188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17</xdr:row>
      <xdr:rowOff>142874</xdr:rowOff>
    </xdr:from>
    <xdr:to>
      <xdr:col>12</xdr:col>
      <xdr:colOff>7938</xdr:colOff>
      <xdr:row>24</xdr:row>
      <xdr:rowOff>123824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08E4C6C-5242-862D-0634-7E0A472AF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0" y="3381374"/>
          <a:ext cx="4421188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10</xdr:col>
      <xdr:colOff>409575</xdr:colOff>
      <xdr:row>43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242FAC-F341-57BF-CB66-B5F8FC2A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8500"/>
          <a:ext cx="406717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11</xdr:col>
      <xdr:colOff>523875</xdr:colOff>
      <xdr:row>54</xdr:row>
      <xdr:rowOff>171450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B30F9D2-9B43-3BC6-EABB-49361D48D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96500"/>
          <a:ext cx="47910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11</xdr:col>
      <xdr:colOff>561975</xdr:colOff>
      <xdr:row>51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66F841-14EA-96E1-6869-7CF70837A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34500"/>
          <a:ext cx="48291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587376</xdr:colOff>
      <xdr:row>49</xdr:row>
      <xdr:rowOff>111125</xdr:rowOff>
    </xdr:from>
    <xdr:to>
      <xdr:col>18</xdr:col>
      <xdr:colOff>423864</xdr:colOff>
      <xdr:row>50</xdr:row>
      <xdr:rowOff>187325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3CF88FD-D88D-4AFB-BF03-7B4F1BFA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1" y="9445625"/>
          <a:ext cx="2281238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595313</xdr:colOff>
      <xdr:row>52</xdr:row>
      <xdr:rowOff>158750</xdr:rowOff>
    </xdr:from>
    <xdr:to>
      <xdr:col>18</xdr:col>
      <xdr:colOff>355600</xdr:colOff>
      <xdr:row>54</xdr:row>
      <xdr:rowOff>139700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0E80B5C-75E4-9393-7A64-3C3B272C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1938" y="10064750"/>
          <a:ext cx="2205037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9D4-3785-43EA-9545-110D9E3C3FBC}">
  <dimension ref="C3:BL219"/>
  <sheetViews>
    <sheetView tabSelected="1" topLeftCell="A75" zoomScale="90" zoomScaleNormal="90" workbookViewId="0">
      <selection activeCell="AO60" sqref="AO60:AO61"/>
    </sheetView>
  </sheetViews>
  <sheetFormatPr defaultRowHeight="15" x14ac:dyDescent="0.25"/>
  <cols>
    <col min="34" max="34" width="11" bestFit="1" customWidth="1"/>
    <col min="35" max="35" width="12.5703125" bestFit="1" customWidth="1"/>
    <col min="36" max="36" width="18.5703125" bestFit="1" customWidth="1"/>
  </cols>
  <sheetData>
    <row r="3" spans="3:42" x14ac:dyDescent="0.25">
      <c r="C3" s="1" t="s">
        <v>20</v>
      </c>
      <c r="D3" s="2"/>
      <c r="H3" s="2"/>
      <c r="M3" s="2"/>
      <c r="V3" s="2"/>
      <c r="W3" s="2"/>
    </row>
    <row r="4" spans="3:42" x14ac:dyDescent="0.25">
      <c r="C4" s="1"/>
      <c r="D4" s="2"/>
      <c r="H4" s="2"/>
      <c r="M4" s="2"/>
      <c r="V4" s="2"/>
      <c r="W4" s="2"/>
    </row>
    <row r="5" spans="3:42" ht="78.75" x14ac:dyDescent="0.25">
      <c r="C5" s="3"/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34</v>
      </c>
      <c r="R5" s="4" t="s">
        <v>35</v>
      </c>
      <c r="S5" s="4" t="s">
        <v>36</v>
      </c>
      <c r="T5" s="4" t="s">
        <v>37</v>
      </c>
      <c r="U5" s="4" t="s">
        <v>38</v>
      </c>
      <c r="V5" s="4" t="s">
        <v>39</v>
      </c>
      <c r="W5" s="4" t="s">
        <v>40</v>
      </c>
      <c r="AC5" s="4" t="s">
        <v>40</v>
      </c>
      <c r="AD5" s="4" t="s">
        <v>91</v>
      </c>
      <c r="AE5" s="4" t="s">
        <v>92</v>
      </c>
      <c r="AF5" s="4" t="s">
        <v>23</v>
      </c>
      <c r="AG5" s="4" t="s">
        <v>24</v>
      </c>
    </row>
    <row r="6" spans="3:42" ht="31.5" x14ac:dyDescent="0.25">
      <c r="C6" s="5">
        <v>1</v>
      </c>
      <c r="D6" s="6">
        <v>1019</v>
      </c>
      <c r="E6" s="7"/>
      <c r="F6" s="8">
        <v>3</v>
      </c>
      <c r="G6" s="7" t="s">
        <v>41</v>
      </c>
      <c r="H6" s="6">
        <v>1</v>
      </c>
      <c r="I6" t="s">
        <v>42</v>
      </c>
      <c r="J6" s="9"/>
      <c r="K6" s="8">
        <v>50</v>
      </c>
      <c r="L6" s="8">
        <v>4</v>
      </c>
      <c r="M6" s="6">
        <v>26.2</v>
      </c>
      <c r="N6" s="10">
        <v>8</v>
      </c>
      <c r="O6" s="11">
        <v>8</v>
      </c>
      <c r="P6">
        <v>0</v>
      </c>
      <c r="Q6">
        <v>0</v>
      </c>
      <c r="R6">
        <v>0</v>
      </c>
      <c r="S6">
        <v>0</v>
      </c>
      <c r="T6" t="s">
        <v>43</v>
      </c>
      <c r="U6" s="11">
        <v>7.8</v>
      </c>
      <c r="V6">
        <v>2.73</v>
      </c>
      <c r="W6" s="2">
        <v>6.38</v>
      </c>
      <c r="AC6" s="15"/>
      <c r="AD6" s="15">
        <v>3.6</v>
      </c>
      <c r="AE6" s="15"/>
      <c r="AF6" s="16">
        <v>3</v>
      </c>
      <c r="AG6" s="17" t="s">
        <v>41</v>
      </c>
    </row>
    <row r="7" spans="3:42" ht="31.5" x14ac:dyDescent="0.25">
      <c r="C7" s="5">
        <v>2</v>
      </c>
      <c r="D7" s="6">
        <v>1023</v>
      </c>
      <c r="E7" s="7"/>
      <c r="F7" s="8">
        <v>2</v>
      </c>
      <c r="G7" s="7" t="s">
        <v>44</v>
      </c>
      <c r="H7" s="6">
        <v>1</v>
      </c>
      <c r="I7" t="s">
        <v>42</v>
      </c>
      <c r="J7" s="9"/>
      <c r="K7" s="8">
        <v>77</v>
      </c>
      <c r="L7" s="8">
        <v>5</v>
      </c>
      <c r="M7" s="6">
        <v>28.9</v>
      </c>
      <c r="N7" s="10">
        <v>22</v>
      </c>
      <c r="O7" s="11">
        <v>0</v>
      </c>
      <c r="P7">
        <v>0</v>
      </c>
      <c r="Q7">
        <v>0</v>
      </c>
      <c r="R7">
        <v>0</v>
      </c>
      <c r="S7">
        <v>50</v>
      </c>
      <c r="T7" t="s">
        <v>45</v>
      </c>
      <c r="U7" s="11">
        <v>7.4</v>
      </c>
      <c r="V7">
        <v>14</v>
      </c>
      <c r="W7" s="12">
        <v>38.299999999999997</v>
      </c>
      <c r="AC7" s="15">
        <v>38.299999999999997</v>
      </c>
      <c r="AD7" s="15">
        <v>5.9</v>
      </c>
      <c r="AE7" s="15"/>
      <c r="AF7" s="16">
        <v>2</v>
      </c>
      <c r="AG7" s="17" t="s">
        <v>44</v>
      </c>
      <c r="AI7">
        <f>D7</f>
        <v>1023</v>
      </c>
      <c r="AJ7" s="21">
        <f>AC7</f>
        <v>38.299999999999997</v>
      </c>
      <c r="AM7">
        <v>11.6</v>
      </c>
      <c r="AN7" s="21">
        <f>AJ7+AM7</f>
        <v>49.9</v>
      </c>
      <c r="AP7">
        <v>11.6</v>
      </c>
    </row>
    <row r="8" spans="3:42" ht="31.5" x14ac:dyDescent="0.25">
      <c r="C8" s="5">
        <v>3</v>
      </c>
      <c r="D8" s="6">
        <v>1030</v>
      </c>
      <c r="E8" s="7"/>
      <c r="F8" s="8">
        <v>2</v>
      </c>
      <c r="G8" s="7" t="s">
        <v>46</v>
      </c>
      <c r="H8" s="6">
        <v>2</v>
      </c>
      <c r="I8" t="s">
        <v>42</v>
      </c>
      <c r="J8" s="9"/>
      <c r="K8" s="8">
        <v>57</v>
      </c>
      <c r="L8" s="8">
        <v>9</v>
      </c>
      <c r="M8" s="6">
        <v>30.2</v>
      </c>
      <c r="N8" s="10">
        <v>19</v>
      </c>
      <c r="O8" s="11">
        <v>13</v>
      </c>
      <c r="P8">
        <v>22.2</v>
      </c>
      <c r="Q8">
        <v>11.1</v>
      </c>
      <c r="R8">
        <v>22.2</v>
      </c>
      <c r="S8">
        <v>0</v>
      </c>
      <c r="T8" t="s">
        <v>43</v>
      </c>
      <c r="U8" s="11">
        <v>5.7</v>
      </c>
      <c r="V8">
        <v>3.9</v>
      </c>
      <c r="W8" s="12">
        <v>13.8</v>
      </c>
      <c r="AC8" s="15">
        <v>13.8</v>
      </c>
      <c r="AD8" s="15">
        <v>2.5</v>
      </c>
      <c r="AE8" s="15"/>
      <c r="AF8" s="16">
        <v>2</v>
      </c>
      <c r="AG8" s="17" t="s">
        <v>46</v>
      </c>
      <c r="AK8" s="21"/>
    </row>
    <row r="9" spans="3:42" ht="31.5" x14ac:dyDescent="0.25">
      <c r="C9" s="5">
        <v>4</v>
      </c>
      <c r="D9" s="6">
        <v>1039</v>
      </c>
      <c r="E9" s="7"/>
      <c r="F9" s="8">
        <v>2</v>
      </c>
      <c r="G9" s="7" t="s">
        <v>47</v>
      </c>
      <c r="H9" s="6">
        <v>1</v>
      </c>
      <c r="I9" t="s">
        <v>42</v>
      </c>
      <c r="J9" s="9"/>
      <c r="K9" s="8">
        <v>49</v>
      </c>
      <c r="L9" s="8">
        <v>3</v>
      </c>
      <c r="M9" s="6">
        <v>27.7</v>
      </c>
      <c r="N9" s="11">
        <v>7</v>
      </c>
      <c r="O9" s="11">
        <v>0</v>
      </c>
      <c r="P9">
        <v>18.100000000000001</v>
      </c>
      <c r="Q9">
        <v>12.5</v>
      </c>
      <c r="R9">
        <v>22.2</v>
      </c>
      <c r="S9">
        <v>0</v>
      </c>
      <c r="T9" t="s">
        <v>45</v>
      </c>
      <c r="U9" s="11">
        <v>6.6</v>
      </c>
      <c r="V9">
        <v>7.1</v>
      </c>
      <c r="W9" s="12">
        <v>17.2</v>
      </c>
      <c r="AC9" s="15">
        <v>17.2</v>
      </c>
      <c r="AD9" s="15">
        <v>2.1</v>
      </c>
      <c r="AE9" s="15"/>
      <c r="AF9" s="16">
        <v>2</v>
      </c>
      <c r="AG9" s="23" t="s">
        <v>47</v>
      </c>
    </row>
    <row r="10" spans="3:42" ht="31.5" x14ac:dyDescent="0.25">
      <c r="C10" s="5">
        <v>5</v>
      </c>
      <c r="D10" s="6">
        <v>1046</v>
      </c>
      <c r="E10" s="7"/>
      <c r="F10" s="8">
        <v>2</v>
      </c>
      <c r="G10" s="7" t="s">
        <v>48</v>
      </c>
      <c r="H10" s="6">
        <v>2</v>
      </c>
      <c r="I10" t="s">
        <v>42</v>
      </c>
      <c r="J10" s="9"/>
      <c r="K10" s="8">
        <v>60</v>
      </c>
      <c r="L10" s="8">
        <v>9</v>
      </c>
      <c r="M10" s="6">
        <v>29.5</v>
      </c>
      <c r="N10" s="11">
        <v>21</v>
      </c>
      <c r="O10" s="11">
        <v>13</v>
      </c>
      <c r="P10">
        <v>16.7</v>
      </c>
      <c r="Q10">
        <v>0</v>
      </c>
      <c r="R10">
        <v>16.7</v>
      </c>
      <c r="S10">
        <v>0</v>
      </c>
      <c r="T10" t="s">
        <v>43</v>
      </c>
      <c r="U10" s="11">
        <v>7.7</v>
      </c>
      <c r="V10">
        <v>8.8000000000000007</v>
      </c>
      <c r="W10" s="12">
        <v>23.2</v>
      </c>
      <c r="AC10" s="15">
        <v>23.2</v>
      </c>
      <c r="AD10" s="15">
        <v>2.5</v>
      </c>
      <c r="AE10" s="15"/>
      <c r="AF10" s="16">
        <v>2</v>
      </c>
      <c r="AG10" s="17" t="s">
        <v>48</v>
      </c>
      <c r="AI10">
        <f>D10</f>
        <v>1046</v>
      </c>
      <c r="AJ10" s="21">
        <f>AC10</f>
        <v>23.2</v>
      </c>
      <c r="AM10">
        <v>4.6399999999999997</v>
      </c>
      <c r="AN10" s="21">
        <f>AJ10+AM10</f>
        <v>27.84</v>
      </c>
      <c r="AP10" s="24">
        <v>27.84</v>
      </c>
    </row>
    <row r="11" spans="3:42" ht="31.5" x14ac:dyDescent="0.25">
      <c r="C11" s="5">
        <v>6</v>
      </c>
      <c r="D11" s="6">
        <v>1047</v>
      </c>
      <c r="E11" s="7"/>
      <c r="F11" s="8">
        <v>3</v>
      </c>
      <c r="G11" s="7" t="s">
        <v>49</v>
      </c>
      <c r="H11" s="6">
        <v>2</v>
      </c>
      <c r="I11" t="s">
        <v>42</v>
      </c>
      <c r="J11" s="9"/>
      <c r="K11" s="8">
        <v>64</v>
      </c>
      <c r="L11" s="8">
        <v>9</v>
      </c>
      <c r="M11" s="6">
        <v>37.200000000000003</v>
      </c>
      <c r="N11" s="11">
        <v>5</v>
      </c>
      <c r="O11" s="11">
        <v>1</v>
      </c>
      <c r="P11">
        <v>8.3000000000000007</v>
      </c>
      <c r="Q11">
        <v>2.8</v>
      </c>
      <c r="R11">
        <v>16.7</v>
      </c>
      <c r="S11">
        <v>0</v>
      </c>
      <c r="T11" t="s">
        <v>45</v>
      </c>
      <c r="U11" s="11">
        <v>7.7</v>
      </c>
      <c r="V11">
        <v>2.06</v>
      </c>
      <c r="W11" s="2">
        <v>9.56</v>
      </c>
      <c r="AC11" s="15"/>
      <c r="AD11" s="15">
        <v>2.5</v>
      </c>
      <c r="AE11" s="15"/>
      <c r="AF11" s="16">
        <v>3</v>
      </c>
      <c r="AG11" s="17" t="s">
        <v>49</v>
      </c>
    </row>
    <row r="12" spans="3:42" ht="31.5" x14ac:dyDescent="0.25">
      <c r="C12" s="5">
        <v>7</v>
      </c>
      <c r="D12" s="6">
        <v>1048</v>
      </c>
      <c r="E12" s="7"/>
      <c r="F12" s="8">
        <v>3</v>
      </c>
      <c r="G12" s="7" t="s">
        <v>49</v>
      </c>
      <c r="H12" s="6">
        <v>1</v>
      </c>
      <c r="I12" t="s">
        <v>42</v>
      </c>
      <c r="J12" s="9"/>
      <c r="K12" s="8">
        <v>60</v>
      </c>
      <c r="L12" s="8">
        <v>4</v>
      </c>
      <c r="M12" s="6">
        <v>30.3</v>
      </c>
      <c r="N12" s="11">
        <v>5</v>
      </c>
      <c r="O12" s="11">
        <v>1</v>
      </c>
      <c r="P12">
        <v>11.1</v>
      </c>
      <c r="Q12">
        <v>0</v>
      </c>
      <c r="R12">
        <v>11.1</v>
      </c>
      <c r="S12">
        <v>0</v>
      </c>
      <c r="T12" t="s">
        <v>43</v>
      </c>
      <c r="U12" s="11">
        <v>7.7</v>
      </c>
      <c r="V12">
        <v>4.5</v>
      </c>
      <c r="W12" s="2">
        <v>15.6</v>
      </c>
      <c r="AC12" s="15"/>
      <c r="AD12" s="15">
        <v>3.6</v>
      </c>
      <c r="AE12" s="15"/>
      <c r="AF12" s="16">
        <v>3</v>
      </c>
      <c r="AG12" s="17" t="s">
        <v>49</v>
      </c>
    </row>
    <row r="13" spans="3:42" ht="31.5" x14ac:dyDescent="0.25">
      <c r="C13" s="5">
        <v>8</v>
      </c>
      <c r="D13" s="6">
        <v>1057</v>
      </c>
      <c r="E13" s="7"/>
      <c r="F13" s="8">
        <v>2</v>
      </c>
      <c r="G13" s="7" t="s">
        <v>50</v>
      </c>
      <c r="H13" s="6">
        <v>2</v>
      </c>
      <c r="I13" t="s">
        <v>42</v>
      </c>
      <c r="J13" s="9"/>
      <c r="K13" s="8">
        <v>73</v>
      </c>
      <c r="L13" s="8">
        <v>10</v>
      </c>
      <c r="M13" s="6">
        <v>27.9</v>
      </c>
      <c r="N13" s="11">
        <v>19</v>
      </c>
      <c r="O13" s="11">
        <v>12</v>
      </c>
      <c r="P13">
        <v>11.8</v>
      </c>
      <c r="Q13">
        <v>6.25</v>
      </c>
      <c r="R13">
        <v>0</v>
      </c>
      <c r="S13">
        <v>0</v>
      </c>
      <c r="T13" t="s">
        <v>45</v>
      </c>
      <c r="U13" s="11">
        <v>42.9</v>
      </c>
      <c r="V13">
        <v>33.299999999999997</v>
      </c>
      <c r="W13" s="12">
        <v>55</v>
      </c>
      <c r="AC13" s="15">
        <v>55</v>
      </c>
      <c r="AD13" s="15">
        <v>2.9</v>
      </c>
      <c r="AE13" s="15"/>
      <c r="AF13" s="16">
        <v>2</v>
      </c>
      <c r="AG13" s="17" t="s">
        <v>50</v>
      </c>
      <c r="AJ13" s="21"/>
      <c r="AK13" s="21"/>
    </row>
    <row r="14" spans="3:42" ht="31.5" x14ac:dyDescent="0.25">
      <c r="C14" s="5">
        <v>9</v>
      </c>
      <c r="D14" s="6">
        <v>1058</v>
      </c>
      <c r="E14" s="7"/>
      <c r="F14" s="8">
        <v>2</v>
      </c>
      <c r="G14" s="7" t="s">
        <v>47</v>
      </c>
      <c r="H14" s="6">
        <v>2</v>
      </c>
      <c r="I14" t="s">
        <v>42</v>
      </c>
      <c r="J14" s="9"/>
      <c r="K14" s="8">
        <v>41</v>
      </c>
      <c r="L14" s="8">
        <v>8</v>
      </c>
      <c r="M14" s="6">
        <v>27.5</v>
      </c>
      <c r="N14" s="11">
        <v>7</v>
      </c>
      <c r="O14" s="11">
        <v>0</v>
      </c>
      <c r="P14">
        <v>11.1</v>
      </c>
      <c r="Q14">
        <v>5.6</v>
      </c>
      <c r="R14">
        <v>11.1</v>
      </c>
      <c r="S14">
        <v>0</v>
      </c>
      <c r="T14" t="s">
        <v>45</v>
      </c>
      <c r="U14" s="11">
        <v>42.9</v>
      </c>
      <c r="V14">
        <v>1.3</v>
      </c>
      <c r="W14" s="12">
        <v>6.91</v>
      </c>
      <c r="AC14" s="15">
        <v>6.91</v>
      </c>
      <c r="AD14" s="15">
        <v>1.4</v>
      </c>
      <c r="AE14" s="15"/>
      <c r="AF14" s="16">
        <v>2</v>
      </c>
      <c r="AG14" s="23" t="s">
        <v>47</v>
      </c>
    </row>
    <row r="15" spans="3:42" ht="31.5" x14ac:dyDescent="0.25">
      <c r="C15" s="5">
        <v>10</v>
      </c>
      <c r="D15" s="6">
        <v>1059</v>
      </c>
      <c r="E15" s="7"/>
      <c r="F15" s="8">
        <v>2</v>
      </c>
      <c r="G15" s="7" t="s">
        <v>47</v>
      </c>
      <c r="H15" s="6">
        <v>1</v>
      </c>
      <c r="I15" t="s">
        <v>42</v>
      </c>
      <c r="J15" s="9"/>
      <c r="K15" s="8">
        <v>42</v>
      </c>
      <c r="L15" s="8">
        <v>3</v>
      </c>
      <c r="M15" s="6">
        <v>24.1</v>
      </c>
      <c r="N15" s="11">
        <v>7</v>
      </c>
      <c r="O15" s="11">
        <v>0</v>
      </c>
      <c r="P15">
        <v>16.7</v>
      </c>
      <c r="Q15">
        <v>11.1</v>
      </c>
      <c r="R15">
        <v>11.1</v>
      </c>
      <c r="S15">
        <v>0</v>
      </c>
      <c r="T15" t="s">
        <v>45</v>
      </c>
      <c r="U15" s="11">
        <v>42.9</v>
      </c>
      <c r="V15">
        <v>2.4</v>
      </c>
      <c r="W15" s="12">
        <v>5.75</v>
      </c>
      <c r="AC15" s="15">
        <v>5.75</v>
      </c>
      <c r="AD15" s="15">
        <v>2.1</v>
      </c>
      <c r="AE15" s="15"/>
      <c r="AF15" s="16">
        <v>2</v>
      </c>
      <c r="AG15" s="23" t="s">
        <v>47</v>
      </c>
    </row>
    <row r="16" spans="3:42" ht="31.5" x14ac:dyDescent="0.25">
      <c r="C16" s="5">
        <v>11</v>
      </c>
      <c r="D16" s="6">
        <v>1069</v>
      </c>
      <c r="E16" s="7"/>
      <c r="F16" s="8">
        <v>3</v>
      </c>
      <c r="G16" s="7" t="s">
        <v>51</v>
      </c>
      <c r="H16" s="6">
        <v>1</v>
      </c>
      <c r="I16" t="s">
        <v>42</v>
      </c>
      <c r="J16" s="9"/>
      <c r="K16" s="8">
        <v>48</v>
      </c>
      <c r="L16" s="8">
        <v>3</v>
      </c>
      <c r="M16" s="6">
        <v>26.7</v>
      </c>
      <c r="N16" s="11">
        <v>12</v>
      </c>
      <c r="O16" s="11">
        <v>12</v>
      </c>
      <c r="P16">
        <v>16.7</v>
      </c>
      <c r="Q16">
        <v>2.8</v>
      </c>
      <c r="R16">
        <v>0</v>
      </c>
      <c r="S16">
        <v>0</v>
      </c>
      <c r="T16" t="s">
        <v>43</v>
      </c>
      <c r="U16" s="11">
        <v>17</v>
      </c>
      <c r="V16">
        <v>1.23</v>
      </c>
      <c r="W16" s="2">
        <v>5.17</v>
      </c>
      <c r="AC16" s="15"/>
      <c r="AD16" s="15">
        <v>2.1</v>
      </c>
      <c r="AE16" s="15"/>
      <c r="AF16" s="16">
        <v>3</v>
      </c>
      <c r="AG16" s="17" t="s">
        <v>51</v>
      </c>
    </row>
    <row r="17" spans="3:42" ht="31.5" x14ac:dyDescent="0.25">
      <c r="C17" s="5">
        <v>12</v>
      </c>
      <c r="D17" s="6">
        <v>1070</v>
      </c>
      <c r="E17" s="7"/>
      <c r="F17" s="8">
        <v>3</v>
      </c>
      <c r="G17" s="7" t="s">
        <v>52</v>
      </c>
      <c r="H17" s="6">
        <v>1</v>
      </c>
      <c r="I17" t="s">
        <v>42</v>
      </c>
      <c r="J17" s="9"/>
      <c r="K17" s="8">
        <v>26</v>
      </c>
      <c r="L17" s="8">
        <v>2</v>
      </c>
      <c r="M17" s="6">
        <v>24.2</v>
      </c>
      <c r="N17" s="11">
        <v>8</v>
      </c>
      <c r="O17" s="11">
        <v>8</v>
      </c>
      <c r="P17">
        <v>27.8</v>
      </c>
      <c r="Q17">
        <v>11.1</v>
      </c>
      <c r="R17">
        <v>22.2</v>
      </c>
      <c r="S17">
        <v>12.5</v>
      </c>
      <c r="T17" t="s">
        <v>45</v>
      </c>
      <c r="U17" s="11">
        <v>8.3000000000000007</v>
      </c>
      <c r="V17">
        <v>1.67</v>
      </c>
      <c r="W17" s="2">
        <v>5.69</v>
      </c>
      <c r="AC17" s="15"/>
      <c r="AD17" s="15">
        <v>1.5</v>
      </c>
      <c r="AE17" s="15"/>
      <c r="AF17" s="16">
        <v>3</v>
      </c>
      <c r="AG17" s="17" t="s">
        <v>52</v>
      </c>
    </row>
    <row r="18" spans="3:42" ht="31.5" x14ac:dyDescent="0.25">
      <c r="C18" s="5">
        <v>13</v>
      </c>
      <c r="D18" s="6">
        <v>1106</v>
      </c>
      <c r="E18" s="7"/>
      <c r="F18" s="8">
        <v>2</v>
      </c>
      <c r="G18" s="7" t="s">
        <v>53</v>
      </c>
      <c r="H18" s="6">
        <v>2</v>
      </c>
      <c r="I18" t="s">
        <v>42</v>
      </c>
      <c r="J18" s="9"/>
      <c r="K18" s="8">
        <v>53</v>
      </c>
      <c r="L18" s="8">
        <v>9</v>
      </c>
      <c r="M18" s="6">
        <v>25.3</v>
      </c>
      <c r="N18" s="11">
        <v>3</v>
      </c>
      <c r="O18" s="11">
        <v>0</v>
      </c>
      <c r="P18">
        <v>2.8</v>
      </c>
      <c r="Q18">
        <v>0</v>
      </c>
      <c r="R18">
        <v>11.1</v>
      </c>
      <c r="S18">
        <v>0</v>
      </c>
      <c r="T18" t="s">
        <v>45</v>
      </c>
      <c r="U18" s="11">
        <v>11</v>
      </c>
      <c r="V18">
        <v>3.6</v>
      </c>
      <c r="W18" s="12">
        <v>14.6</v>
      </c>
      <c r="AC18" s="15">
        <v>14.6</v>
      </c>
      <c r="AD18" s="15">
        <v>2.5</v>
      </c>
      <c r="AE18" s="15"/>
      <c r="AF18" s="16">
        <v>2</v>
      </c>
      <c r="AG18" s="17" t="s">
        <v>53</v>
      </c>
      <c r="AK18" s="21"/>
    </row>
    <row r="19" spans="3:42" ht="31.5" x14ac:dyDescent="0.25">
      <c r="C19" s="5">
        <v>14</v>
      </c>
      <c r="D19" s="6">
        <v>1134</v>
      </c>
      <c r="E19" s="7"/>
      <c r="F19" s="8">
        <v>2</v>
      </c>
      <c r="G19" s="7" t="s">
        <v>53</v>
      </c>
      <c r="H19" s="6">
        <v>1</v>
      </c>
      <c r="I19" t="s">
        <v>42</v>
      </c>
      <c r="J19" s="9"/>
      <c r="K19" s="8">
        <v>52</v>
      </c>
      <c r="L19" s="8">
        <v>4</v>
      </c>
      <c r="M19" s="6">
        <v>20.8</v>
      </c>
      <c r="N19" s="11">
        <v>3</v>
      </c>
      <c r="O19" s="11">
        <v>0</v>
      </c>
      <c r="P19">
        <v>15.3</v>
      </c>
      <c r="Q19">
        <v>0</v>
      </c>
      <c r="R19">
        <v>22.2</v>
      </c>
      <c r="S19">
        <v>0</v>
      </c>
      <c r="T19" t="s">
        <v>45</v>
      </c>
      <c r="U19" s="11">
        <v>11</v>
      </c>
      <c r="V19">
        <v>6.3</v>
      </c>
      <c r="W19" s="12">
        <v>19.600000000000001</v>
      </c>
      <c r="AC19" s="15">
        <v>19.600000000000001</v>
      </c>
      <c r="AD19" s="15">
        <v>3.6</v>
      </c>
      <c r="AE19" s="15"/>
      <c r="AF19" s="16">
        <v>2</v>
      </c>
      <c r="AG19" s="17" t="s">
        <v>53</v>
      </c>
      <c r="AK19" s="21"/>
    </row>
    <row r="20" spans="3:42" ht="31.5" x14ac:dyDescent="0.25">
      <c r="C20" s="5">
        <v>15</v>
      </c>
      <c r="D20" s="6">
        <v>1136</v>
      </c>
      <c r="E20" s="7"/>
      <c r="F20" s="8">
        <v>2</v>
      </c>
      <c r="G20" s="7" t="s">
        <v>54</v>
      </c>
      <c r="H20" s="6">
        <v>2</v>
      </c>
      <c r="I20" t="s">
        <v>42</v>
      </c>
      <c r="J20" s="9"/>
      <c r="K20" s="8">
        <v>70</v>
      </c>
      <c r="L20" s="8">
        <v>10</v>
      </c>
      <c r="M20" s="6">
        <v>30.8</v>
      </c>
      <c r="N20" s="11">
        <v>25</v>
      </c>
      <c r="O20" s="11">
        <v>13</v>
      </c>
      <c r="P20">
        <v>11.1</v>
      </c>
      <c r="Q20">
        <v>5.6</v>
      </c>
      <c r="R20">
        <v>22.2</v>
      </c>
      <c r="S20">
        <v>0</v>
      </c>
      <c r="T20" t="s">
        <v>45</v>
      </c>
      <c r="U20" s="11">
        <v>4</v>
      </c>
      <c r="V20">
        <v>13.6</v>
      </c>
      <c r="W20" s="12">
        <v>36.6</v>
      </c>
      <c r="AC20" s="15">
        <v>36.6</v>
      </c>
      <c r="AD20" s="15">
        <v>2.9</v>
      </c>
      <c r="AE20" s="15"/>
      <c r="AF20" s="16">
        <v>2</v>
      </c>
      <c r="AG20" s="17" t="s">
        <v>54</v>
      </c>
      <c r="AI20">
        <f>D20</f>
        <v>1136</v>
      </c>
      <c r="AJ20" s="21">
        <f>AC20</f>
        <v>36.6</v>
      </c>
      <c r="AM20">
        <v>15.3</v>
      </c>
      <c r="AN20" s="21">
        <f t="shared" ref="AN20:AN23" si="0">AJ20+AM20</f>
        <v>51.900000000000006</v>
      </c>
      <c r="AP20">
        <v>15.3</v>
      </c>
    </row>
    <row r="21" spans="3:42" ht="31.5" x14ac:dyDescent="0.25">
      <c r="C21" s="5">
        <v>16</v>
      </c>
      <c r="D21" s="6">
        <v>1145</v>
      </c>
      <c r="E21" s="7"/>
      <c r="F21" s="8">
        <v>2</v>
      </c>
      <c r="G21" s="7" t="s">
        <v>55</v>
      </c>
      <c r="H21" s="6">
        <v>1</v>
      </c>
      <c r="I21" t="s">
        <v>42</v>
      </c>
      <c r="J21" s="9"/>
      <c r="K21" s="8">
        <v>59</v>
      </c>
      <c r="L21" s="8">
        <v>4</v>
      </c>
      <c r="M21" s="6">
        <v>32.299999999999997</v>
      </c>
      <c r="N21" s="11">
        <v>25</v>
      </c>
      <c r="O21" s="11">
        <v>13</v>
      </c>
      <c r="P21">
        <v>11.1</v>
      </c>
      <c r="Q21">
        <v>0</v>
      </c>
      <c r="R21">
        <v>22.2</v>
      </c>
      <c r="S21">
        <v>50</v>
      </c>
      <c r="T21" t="s">
        <v>45</v>
      </c>
      <c r="U21" s="11">
        <v>6</v>
      </c>
      <c r="V21">
        <v>13.5</v>
      </c>
      <c r="W21" s="12">
        <v>27</v>
      </c>
      <c r="AC21" s="15">
        <v>27</v>
      </c>
      <c r="AD21" s="15">
        <v>3.6</v>
      </c>
      <c r="AE21" s="15"/>
      <c r="AF21" s="16">
        <v>2</v>
      </c>
      <c r="AG21" s="17" t="s">
        <v>55</v>
      </c>
      <c r="AI21">
        <f>D21</f>
        <v>1145</v>
      </c>
      <c r="AJ21" s="21">
        <f>AC21</f>
        <v>27</v>
      </c>
      <c r="AM21">
        <v>9.15</v>
      </c>
      <c r="AN21" s="21">
        <f t="shared" si="0"/>
        <v>36.15</v>
      </c>
      <c r="AP21">
        <v>9.15</v>
      </c>
    </row>
    <row r="22" spans="3:42" ht="31.5" x14ac:dyDescent="0.25">
      <c r="C22" s="5">
        <v>17</v>
      </c>
      <c r="D22" s="6">
        <v>1154</v>
      </c>
      <c r="E22" s="7"/>
      <c r="F22" s="8">
        <v>2</v>
      </c>
      <c r="G22" s="7" t="s">
        <v>56</v>
      </c>
      <c r="H22" s="6">
        <v>2</v>
      </c>
      <c r="I22" t="s">
        <v>42</v>
      </c>
      <c r="J22" s="9"/>
      <c r="K22" s="8">
        <v>74</v>
      </c>
      <c r="L22" s="8">
        <v>10</v>
      </c>
      <c r="M22" s="6">
        <v>30.1</v>
      </c>
      <c r="N22" s="11">
        <v>25</v>
      </c>
      <c r="O22" s="11">
        <v>13</v>
      </c>
      <c r="P22">
        <v>22.2</v>
      </c>
      <c r="Q22">
        <v>16.7</v>
      </c>
      <c r="R22">
        <v>22.2</v>
      </c>
      <c r="S22">
        <v>0</v>
      </c>
      <c r="T22" t="s">
        <v>57</v>
      </c>
      <c r="U22" s="11">
        <v>5</v>
      </c>
      <c r="V22">
        <v>7.2</v>
      </c>
      <c r="W22" s="12">
        <v>19.100000000000001</v>
      </c>
      <c r="AC22" s="15">
        <v>19.100000000000001</v>
      </c>
      <c r="AD22" s="15">
        <v>2.9</v>
      </c>
      <c r="AE22" s="15"/>
      <c r="AF22" s="16">
        <v>2</v>
      </c>
      <c r="AG22" s="17" t="s">
        <v>56</v>
      </c>
      <c r="AI22">
        <f>D22</f>
        <v>1154</v>
      </c>
      <c r="AJ22" s="21">
        <f t="shared" ref="AJ22:AJ23" si="1">AC22</f>
        <v>19.100000000000001</v>
      </c>
      <c r="AM22">
        <v>9.99</v>
      </c>
      <c r="AN22" s="21">
        <f t="shared" si="0"/>
        <v>29.090000000000003</v>
      </c>
      <c r="AP22">
        <v>9.99</v>
      </c>
    </row>
    <row r="23" spans="3:42" ht="31.5" x14ac:dyDescent="0.25">
      <c r="C23" s="5">
        <v>18</v>
      </c>
      <c r="D23" s="6">
        <v>1155</v>
      </c>
      <c r="E23" s="7"/>
      <c r="F23" s="8">
        <v>2</v>
      </c>
      <c r="G23" s="7" t="s">
        <v>56</v>
      </c>
      <c r="H23" s="6">
        <v>1</v>
      </c>
      <c r="I23" t="s">
        <v>42</v>
      </c>
      <c r="J23" s="9"/>
      <c r="K23" s="8">
        <v>73</v>
      </c>
      <c r="L23" s="8">
        <v>5</v>
      </c>
      <c r="M23" s="6">
        <v>25.7</v>
      </c>
      <c r="N23" s="11">
        <v>25</v>
      </c>
      <c r="O23" s="11">
        <v>13</v>
      </c>
      <c r="P23">
        <v>16.7</v>
      </c>
      <c r="Q23">
        <v>5.6</v>
      </c>
      <c r="R23">
        <v>22.2</v>
      </c>
      <c r="S23">
        <v>0</v>
      </c>
      <c r="T23" t="s">
        <v>57</v>
      </c>
      <c r="U23" s="11">
        <v>5</v>
      </c>
      <c r="V23">
        <v>23.5</v>
      </c>
      <c r="W23" s="12">
        <v>44.6</v>
      </c>
      <c r="AC23" s="15">
        <v>44.6</v>
      </c>
      <c r="AD23" s="15">
        <v>5.9</v>
      </c>
      <c r="AE23" s="15"/>
      <c r="AF23" s="16">
        <v>2</v>
      </c>
      <c r="AG23" s="17" t="s">
        <v>56</v>
      </c>
      <c r="AI23">
        <f>D23</f>
        <v>1155</v>
      </c>
      <c r="AJ23" s="21">
        <f t="shared" si="1"/>
        <v>44.6</v>
      </c>
      <c r="AM23">
        <v>14.6</v>
      </c>
      <c r="AN23" s="21">
        <f t="shared" si="0"/>
        <v>59.2</v>
      </c>
      <c r="AP23">
        <v>14.6</v>
      </c>
    </row>
    <row r="24" spans="3:42" ht="31.5" x14ac:dyDescent="0.25">
      <c r="C24" s="5">
        <v>19</v>
      </c>
      <c r="D24" s="6">
        <v>1158</v>
      </c>
      <c r="E24" s="7"/>
      <c r="F24" s="8">
        <v>3</v>
      </c>
      <c r="G24" s="7" t="s">
        <v>58</v>
      </c>
      <c r="H24" s="6">
        <v>2</v>
      </c>
      <c r="I24" t="s">
        <v>42</v>
      </c>
      <c r="J24" s="9"/>
      <c r="K24" s="8">
        <v>50</v>
      </c>
      <c r="L24" s="8">
        <v>9</v>
      </c>
      <c r="M24" s="6">
        <v>30.9</v>
      </c>
      <c r="N24" s="11">
        <v>12</v>
      </c>
      <c r="O24" s="11">
        <v>12</v>
      </c>
      <c r="P24">
        <v>4.2</v>
      </c>
      <c r="Q24">
        <v>0</v>
      </c>
      <c r="R24">
        <v>0</v>
      </c>
      <c r="S24">
        <v>0</v>
      </c>
      <c r="T24" t="s">
        <v>43</v>
      </c>
      <c r="U24" s="11">
        <v>4.9000000000000004</v>
      </c>
      <c r="V24">
        <v>1.83</v>
      </c>
      <c r="W24" s="2">
        <v>8.7100000000000009</v>
      </c>
      <c r="AC24" s="15"/>
      <c r="AD24" s="15">
        <v>2.5</v>
      </c>
      <c r="AE24" s="15"/>
      <c r="AF24" s="16">
        <v>3</v>
      </c>
      <c r="AG24" s="17" t="s">
        <v>58</v>
      </c>
    </row>
    <row r="25" spans="3:42" ht="31.5" x14ac:dyDescent="0.25">
      <c r="C25" s="5">
        <v>20</v>
      </c>
      <c r="D25" s="6">
        <v>1261</v>
      </c>
      <c r="E25" s="7"/>
      <c r="F25" s="8">
        <v>2</v>
      </c>
      <c r="G25" s="7" t="s">
        <v>59</v>
      </c>
      <c r="H25" s="6">
        <v>2</v>
      </c>
      <c r="I25" t="s">
        <v>42</v>
      </c>
      <c r="J25" s="9"/>
      <c r="K25" s="8">
        <v>62</v>
      </c>
      <c r="L25" s="8">
        <v>9</v>
      </c>
      <c r="M25" s="6">
        <v>33.299999999999997</v>
      </c>
      <c r="N25" s="11">
        <v>22</v>
      </c>
      <c r="O25" s="11">
        <v>13</v>
      </c>
      <c r="P25">
        <v>9</v>
      </c>
      <c r="Q25">
        <v>3.5</v>
      </c>
      <c r="R25">
        <v>11.1</v>
      </c>
      <c r="S25">
        <v>0</v>
      </c>
      <c r="T25" t="s">
        <v>60</v>
      </c>
      <c r="U25" s="11">
        <v>5.5</v>
      </c>
      <c r="V25">
        <v>24.3</v>
      </c>
      <c r="W25" s="12">
        <v>43.1</v>
      </c>
      <c r="AC25" s="15">
        <v>43.1</v>
      </c>
      <c r="AD25" s="15">
        <v>2.5</v>
      </c>
      <c r="AE25" s="15"/>
      <c r="AF25" s="16">
        <v>2</v>
      </c>
      <c r="AG25" s="17" t="s">
        <v>59</v>
      </c>
      <c r="AI25">
        <f>D25</f>
        <v>1261</v>
      </c>
      <c r="AJ25" s="21">
        <f>AC25</f>
        <v>43.1</v>
      </c>
      <c r="AM25">
        <v>6.55</v>
      </c>
      <c r="AN25" s="21">
        <f>AJ25+AM25</f>
        <v>49.65</v>
      </c>
      <c r="AP25" s="25">
        <v>49.65</v>
      </c>
    </row>
    <row r="26" spans="3:42" ht="31.5" x14ac:dyDescent="0.25">
      <c r="C26" s="5">
        <v>21</v>
      </c>
      <c r="D26" s="6">
        <v>1267</v>
      </c>
      <c r="E26" s="7"/>
      <c r="F26" s="8">
        <v>3</v>
      </c>
      <c r="G26" s="7" t="s">
        <v>61</v>
      </c>
      <c r="H26" s="6">
        <v>1</v>
      </c>
      <c r="I26" t="s">
        <v>42</v>
      </c>
      <c r="J26" s="9"/>
      <c r="K26" s="8">
        <v>57</v>
      </c>
      <c r="L26" s="8">
        <v>4</v>
      </c>
      <c r="M26" s="6">
        <v>28</v>
      </c>
      <c r="N26" s="11">
        <v>13</v>
      </c>
      <c r="O26" s="11">
        <v>13</v>
      </c>
      <c r="P26">
        <v>8.3000000000000007</v>
      </c>
      <c r="Q26">
        <v>0</v>
      </c>
      <c r="R26">
        <v>11.1</v>
      </c>
      <c r="S26">
        <v>0</v>
      </c>
      <c r="T26" t="s">
        <v>43</v>
      </c>
      <c r="U26" s="11">
        <v>8.9</v>
      </c>
      <c r="V26">
        <v>1.8</v>
      </c>
      <c r="W26" s="2">
        <v>7.14</v>
      </c>
      <c r="AC26" s="15"/>
      <c r="AD26" s="15">
        <v>3.6</v>
      </c>
      <c r="AE26" s="15"/>
      <c r="AF26" s="16">
        <v>3</v>
      </c>
      <c r="AG26" s="17" t="s">
        <v>61</v>
      </c>
    </row>
    <row r="27" spans="3:42" ht="31.5" x14ac:dyDescent="0.25">
      <c r="C27" s="5">
        <v>22</v>
      </c>
      <c r="D27" s="6">
        <v>1281</v>
      </c>
      <c r="E27" s="7"/>
      <c r="F27" s="8">
        <v>3</v>
      </c>
      <c r="G27" s="7" t="s">
        <v>62</v>
      </c>
      <c r="H27" s="6">
        <v>1</v>
      </c>
      <c r="I27" t="s">
        <v>42</v>
      </c>
      <c r="J27" s="9"/>
      <c r="K27" s="8">
        <v>59</v>
      </c>
      <c r="L27" s="8">
        <v>4</v>
      </c>
      <c r="M27" s="6">
        <v>27.3</v>
      </c>
      <c r="N27" s="11">
        <v>3</v>
      </c>
      <c r="O27" s="11">
        <v>3</v>
      </c>
      <c r="P27">
        <v>25.7</v>
      </c>
      <c r="Q27">
        <v>0.7</v>
      </c>
      <c r="R27">
        <v>22.2</v>
      </c>
      <c r="S27">
        <v>0</v>
      </c>
      <c r="T27" t="s">
        <v>45</v>
      </c>
      <c r="U27" s="11">
        <v>34.200000000000003</v>
      </c>
      <c r="V27">
        <v>2.98</v>
      </c>
      <c r="W27" s="2">
        <v>15.9</v>
      </c>
      <c r="AC27" s="15"/>
      <c r="AD27" s="15">
        <v>3.6</v>
      </c>
      <c r="AE27" s="15"/>
      <c r="AF27" s="16">
        <v>3</v>
      </c>
      <c r="AG27" s="17" t="s">
        <v>62</v>
      </c>
    </row>
    <row r="28" spans="3:42" ht="31.5" x14ac:dyDescent="0.25">
      <c r="C28" s="5">
        <v>23</v>
      </c>
      <c r="D28" s="6">
        <v>1288</v>
      </c>
      <c r="E28" s="7"/>
      <c r="F28" s="8">
        <v>3</v>
      </c>
      <c r="G28" s="7" t="s">
        <v>63</v>
      </c>
      <c r="H28" s="6">
        <v>2</v>
      </c>
      <c r="I28" t="s">
        <v>42</v>
      </c>
      <c r="J28" s="9"/>
      <c r="K28" s="8">
        <v>29</v>
      </c>
      <c r="L28" s="8">
        <v>7</v>
      </c>
      <c r="M28" s="6">
        <v>35.299999999999997</v>
      </c>
      <c r="N28" s="11">
        <v>3</v>
      </c>
      <c r="O28" s="11">
        <v>3</v>
      </c>
      <c r="P28">
        <v>0</v>
      </c>
      <c r="Q28">
        <v>0</v>
      </c>
      <c r="R28">
        <v>0</v>
      </c>
      <c r="S28">
        <v>0</v>
      </c>
      <c r="T28" t="s">
        <v>45</v>
      </c>
      <c r="U28" s="11">
        <v>22.4</v>
      </c>
      <c r="V28">
        <v>2.19</v>
      </c>
      <c r="W28" s="2">
        <v>7.76</v>
      </c>
      <c r="AC28" s="15"/>
      <c r="AD28" s="15">
        <v>1.1000000000000001</v>
      </c>
      <c r="AE28" s="15"/>
      <c r="AF28" s="16">
        <v>3</v>
      </c>
      <c r="AG28" s="17" t="s">
        <v>63</v>
      </c>
    </row>
    <row r="29" spans="3:42" ht="31.5" x14ac:dyDescent="0.25">
      <c r="C29" s="5">
        <v>24</v>
      </c>
      <c r="D29" s="6">
        <v>1314</v>
      </c>
      <c r="E29" s="7"/>
      <c r="F29" s="8">
        <v>2</v>
      </c>
      <c r="G29" s="7" t="s">
        <v>64</v>
      </c>
      <c r="H29" s="6">
        <v>2</v>
      </c>
      <c r="I29" t="s">
        <v>42</v>
      </c>
      <c r="J29" s="9"/>
      <c r="K29" s="8">
        <v>57</v>
      </c>
      <c r="L29" s="8">
        <v>9</v>
      </c>
      <c r="M29" s="6">
        <v>29.7</v>
      </c>
      <c r="N29" s="11">
        <v>20</v>
      </c>
      <c r="O29" s="11">
        <v>13</v>
      </c>
      <c r="P29">
        <v>11.1</v>
      </c>
      <c r="Q29">
        <v>0</v>
      </c>
      <c r="R29">
        <v>22.2</v>
      </c>
      <c r="S29">
        <v>50</v>
      </c>
      <c r="T29" t="s">
        <v>45</v>
      </c>
      <c r="U29" s="11">
        <v>6</v>
      </c>
      <c r="V29">
        <v>4.3</v>
      </c>
      <c r="W29" s="12">
        <v>13.1</v>
      </c>
      <c r="AC29" s="15">
        <v>13.1</v>
      </c>
      <c r="AD29" s="15">
        <v>2.5</v>
      </c>
      <c r="AE29" s="15"/>
      <c r="AF29" s="16">
        <v>2</v>
      </c>
      <c r="AG29" s="17" t="s">
        <v>64</v>
      </c>
      <c r="AK29" s="21"/>
    </row>
    <row r="30" spans="3:42" ht="31.5" x14ac:dyDescent="0.25">
      <c r="C30" s="5">
        <v>25</v>
      </c>
      <c r="D30" s="6">
        <v>1323</v>
      </c>
      <c r="E30" s="7"/>
      <c r="F30" s="8">
        <v>3</v>
      </c>
      <c r="G30" s="7" t="s">
        <v>65</v>
      </c>
      <c r="H30" s="6">
        <v>2</v>
      </c>
      <c r="I30" t="s">
        <v>66</v>
      </c>
      <c r="J30" s="9"/>
      <c r="K30" s="8">
        <v>27</v>
      </c>
      <c r="L30" s="8">
        <v>7</v>
      </c>
      <c r="M30" s="6">
        <v>29.9</v>
      </c>
      <c r="N30" s="11">
        <v>10</v>
      </c>
      <c r="O30" s="11">
        <v>10</v>
      </c>
      <c r="P30">
        <v>4.2</v>
      </c>
      <c r="Q30">
        <v>0</v>
      </c>
      <c r="R30">
        <v>5.6</v>
      </c>
      <c r="S30">
        <v>0</v>
      </c>
      <c r="T30" t="s">
        <v>45</v>
      </c>
      <c r="U30" s="11">
        <v>39.5</v>
      </c>
      <c r="V30">
        <v>1.1299999999999999</v>
      </c>
      <c r="W30" s="2">
        <v>4.01</v>
      </c>
      <c r="AC30" s="15"/>
      <c r="AD30" s="15">
        <v>1.1000000000000001</v>
      </c>
      <c r="AE30" s="15"/>
      <c r="AF30" s="16">
        <v>3</v>
      </c>
      <c r="AG30" s="17" t="s">
        <v>65</v>
      </c>
    </row>
    <row r="31" spans="3:42" ht="31.5" x14ac:dyDescent="0.25">
      <c r="C31" s="5">
        <v>26</v>
      </c>
      <c r="D31" s="6">
        <v>1338</v>
      </c>
      <c r="E31" s="7"/>
      <c r="F31" s="8">
        <v>3</v>
      </c>
      <c r="G31" s="7" t="s">
        <v>67</v>
      </c>
      <c r="H31" s="6">
        <v>2</v>
      </c>
      <c r="I31" t="s">
        <v>42</v>
      </c>
      <c r="J31" s="9"/>
      <c r="K31" s="8">
        <v>57</v>
      </c>
      <c r="L31" s="8">
        <v>9</v>
      </c>
      <c r="M31" s="6">
        <v>25.1</v>
      </c>
      <c r="N31" s="11">
        <v>8</v>
      </c>
      <c r="O31" s="11">
        <v>8</v>
      </c>
      <c r="P31">
        <v>8.3000000000000007</v>
      </c>
      <c r="Q31">
        <v>3.5</v>
      </c>
      <c r="R31">
        <v>5.6</v>
      </c>
      <c r="S31">
        <v>25</v>
      </c>
      <c r="T31" t="s">
        <v>45</v>
      </c>
      <c r="U31" s="11">
        <v>10.4</v>
      </c>
      <c r="V31">
        <v>2.0499999999999998</v>
      </c>
      <c r="W31" s="2">
        <v>8.77</v>
      </c>
      <c r="AC31" s="15"/>
      <c r="AD31" s="15">
        <v>2.5</v>
      </c>
      <c r="AE31" s="15"/>
      <c r="AF31" s="16">
        <v>3</v>
      </c>
      <c r="AG31" s="17" t="s">
        <v>67</v>
      </c>
    </row>
    <row r="32" spans="3:42" ht="31.5" x14ac:dyDescent="0.25">
      <c r="C32" s="5">
        <v>27</v>
      </c>
      <c r="D32" s="6">
        <v>1345</v>
      </c>
      <c r="E32" s="7"/>
      <c r="F32" s="8">
        <v>3</v>
      </c>
      <c r="G32" s="7" t="s">
        <v>68</v>
      </c>
      <c r="H32" s="6">
        <v>1</v>
      </c>
      <c r="I32" t="s">
        <v>42</v>
      </c>
      <c r="J32" s="9"/>
      <c r="K32" s="8">
        <v>28</v>
      </c>
      <c r="L32" s="8">
        <v>2</v>
      </c>
      <c r="M32" s="6">
        <v>24.6</v>
      </c>
      <c r="N32" s="11">
        <v>3</v>
      </c>
      <c r="O32" s="11">
        <v>3</v>
      </c>
      <c r="P32">
        <v>0.7</v>
      </c>
      <c r="Q32">
        <v>0</v>
      </c>
      <c r="R32">
        <v>1.4</v>
      </c>
      <c r="S32">
        <v>0</v>
      </c>
      <c r="T32" t="s">
        <v>60</v>
      </c>
      <c r="U32" s="11">
        <v>41.6</v>
      </c>
      <c r="V32">
        <v>1.1399999999999999</v>
      </c>
      <c r="W32" s="2">
        <v>2.5299999999999998</v>
      </c>
      <c r="AC32" s="15"/>
      <c r="AD32" s="15">
        <v>1.5</v>
      </c>
      <c r="AE32" s="15"/>
      <c r="AF32" s="16">
        <v>3</v>
      </c>
      <c r="AG32" s="17" t="s">
        <v>68</v>
      </c>
    </row>
    <row r="33" spans="3:64" ht="31.5" x14ac:dyDescent="0.25">
      <c r="C33" s="5">
        <v>28</v>
      </c>
      <c r="D33" s="6">
        <v>1360</v>
      </c>
      <c r="E33" s="7"/>
      <c r="F33" s="8">
        <v>3</v>
      </c>
      <c r="G33" s="7" t="s">
        <v>69</v>
      </c>
      <c r="H33" s="6">
        <v>2</v>
      </c>
      <c r="I33" t="s">
        <v>42</v>
      </c>
      <c r="J33" s="9"/>
      <c r="K33" s="8">
        <v>82</v>
      </c>
      <c r="L33" s="8">
        <v>10</v>
      </c>
      <c r="M33" s="6">
        <v>26.8</v>
      </c>
      <c r="N33" s="11">
        <v>25</v>
      </c>
      <c r="O33" s="11">
        <v>13</v>
      </c>
      <c r="P33">
        <v>13.9</v>
      </c>
      <c r="Q33">
        <v>8.3000000000000007</v>
      </c>
      <c r="R33">
        <v>22.2</v>
      </c>
      <c r="S33">
        <v>25</v>
      </c>
      <c r="T33" t="s">
        <v>45</v>
      </c>
      <c r="U33" s="11">
        <v>7.3</v>
      </c>
      <c r="V33">
        <v>11.8</v>
      </c>
      <c r="W33" s="2">
        <v>28.1</v>
      </c>
      <c r="AC33" s="15"/>
      <c r="AD33" s="15">
        <v>2.9</v>
      </c>
      <c r="AE33" s="15"/>
      <c r="AF33" s="16">
        <v>3</v>
      </c>
      <c r="AG33" s="17" t="s">
        <v>69</v>
      </c>
    </row>
    <row r="34" spans="3:64" ht="31.5" x14ac:dyDescent="0.25">
      <c r="C34" s="5">
        <v>29</v>
      </c>
      <c r="D34" s="6">
        <v>1395</v>
      </c>
      <c r="E34" s="7"/>
      <c r="F34" s="8">
        <v>3</v>
      </c>
      <c r="G34" s="7" t="s">
        <v>70</v>
      </c>
      <c r="H34" s="6">
        <v>1</v>
      </c>
      <c r="I34" t="s">
        <v>42</v>
      </c>
      <c r="J34" s="9"/>
      <c r="K34" s="8">
        <v>24</v>
      </c>
      <c r="L34" s="8">
        <v>1</v>
      </c>
      <c r="M34" s="6">
        <v>24.3</v>
      </c>
      <c r="N34" s="11">
        <v>7</v>
      </c>
      <c r="O34" s="11">
        <v>6</v>
      </c>
      <c r="P34">
        <v>8.3000000000000007</v>
      </c>
      <c r="Q34">
        <v>0</v>
      </c>
      <c r="R34">
        <v>2.8</v>
      </c>
      <c r="S34">
        <v>0</v>
      </c>
      <c r="T34" t="s">
        <v>43</v>
      </c>
      <c r="U34" s="11">
        <v>16.899999999999999</v>
      </c>
      <c r="V34">
        <v>1.04</v>
      </c>
      <c r="W34" s="2">
        <v>6.18</v>
      </c>
      <c r="AC34" s="15"/>
      <c r="AD34" s="15">
        <v>1</v>
      </c>
      <c r="AE34" s="15"/>
      <c r="AF34" s="16">
        <v>3</v>
      </c>
      <c r="AG34" s="17" t="s">
        <v>70</v>
      </c>
    </row>
    <row r="35" spans="3:64" ht="31.5" x14ac:dyDescent="0.25">
      <c r="C35" s="5">
        <v>30</v>
      </c>
      <c r="D35" s="6">
        <v>1402</v>
      </c>
      <c r="E35" s="7"/>
      <c r="F35" s="8">
        <v>2</v>
      </c>
      <c r="G35" s="7" t="s">
        <v>64</v>
      </c>
      <c r="H35" s="6">
        <v>1</v>
      </c>
      <c r="I35" t="s">
        <v>42</v>
      </c>
      <c r="J35" s="9"/>
      <c r="K35" s="8">
        <v>49</v>
      </c>
      <c r="L35" s="8">
        <v>3</v>
      </c>
      <c r="M35" s="6">
        <v>29.4</v>
      </c>
      <c r="N35" s="11">
        <v>20</v>
      </c>
      <c r="O35" s="11">
        <v>13</v>
      </c>
      <c r="P35">
        <v>22.2</v>
      </c>
      <c r="Q35">
        <v>11.1</v>
      </c>
      <c r="R35">
        <v>22.2</v>
      </c>
      <c r="S35">
        <v>50</v>
      </c>
      <c r="T35" t="s">
        <v>43</v>
      </c>
      <c r="U35" s="11">
        <v>4.5</v>
      </c>
      <c r="V35">
        <v>13.5</v>
      </c>
      <c r="W35" s="12">
        <v>31.5</v>
      </c>
      <c r="AC35" s="15">
        <v>31.5</v>
      </c>
      <c r="AD35" s="15">
        <v>2.1</v>
      </c>
      <c r="AE35" s="15"/>
      <c r="AF35" s="16">
        <v>2</v>
      </c>
      <c r="AG35" s="17" t="s">
        <v>64</v>
      </c>
      <c r="AJ35" s="21"/>
      <c r="AK35" s="21"/>
    </row>
    <row r="36" spans="3:64" ht="31.5" x14ac:dyDescent="0.25">
      <c r="C36" s="5">
        <v>31</v>
      </c>
      <c r="D36" s="6">
        <v>1408</v>
      </c>
      <c r="E36" s="7"/>
      <c r="F36" s="8">
        <v>3</v>
      </c>
      <c r="G36" s="7" t="s">
        <v>71</v>
      </c>
      <c r="H36" s="6">
        <v>1</v>
      </c>
      <c r="I36" t="s">
        <v>42</v>
      </c>
      <c r="J36" s="9"/>
      <c r="K36" s="8">
        <v>52</v>
      </c>
      <c r="L36" s="8">
        <v>4</v>
      </c>
      <c r="M36" s="6">
        <v>29.1</v>
      </c>
      <c r="N36" s="11">
        <v>9</v>
      </c>
      <c r="O36" s="11">
        <v>9</v>
      </c>
      <c r="P36">
        <v>0</v>
      </c>
      <c r="Q36">
        <v>0</v>
      </c>
      <c r="R36">
        <v>0</v>
      </c>
      <c r="S36">
        <v>0</v>
      </c>
      <c r="T36" t="s">
        <v>43</v>
      </c>
      <c r="U36" s="11">
        <v>5.2</v>
      </c>
      <c r="V36">
        <v>17.899999999999999</v>
      </c>
      <c r="W36" s="2">
        <v>38</v>
      </c>
      <c r="AC36" s="15"/>
      <c r="AD36" s="15">
        <v>3.6</v>
      </c>
      <c r="AE36" s="15"/>
      <c r="AF36" s="16">
        <v>3</v>
      </c>
      <c r="AG36" s="17" t="s">
        <v>71</v>
      </c>
    </row>
    <row r="37" spans="3:64" ht="31.5" x14ac:dyDescent="0.25">
      <c r="C37" s="5">
        <v>32</v>
      </c>
      <c r="D37" s="6">
        <v>1419</v>
      </c>
      <c r="E37" s="7"/>
      <c r="F37" s="8">
        <v>3</v>
      </c>
      <c r="G37" s="7" t="s">
        <v>72</v>
      </c>
      <c r="H37" s="6">
        <v>1</v>
      </c>
      <c r="I37" t="s">
        <v>73</v>
      </c>
      <c r="J37" s="9"/>
      <c r="K37" s="8">
        <v>22</v>
      </c>
      <c r="L37" s="8">
        <v>1</v>
      </c>
      <c r="M37" s="6">
        <v>24.8</v>
      </c>
      <c r="N37" s="11">
        <v>11</v>
      </c>
      <c r="O37" s="11">
        <v>11</v>
      </c>
      <c r="P37">
        <v>25</v>
      </c>
      <c r="Q37">
        <v>13.8</v>
      </c>
      <c r="R37">
        <v>11.1</v>
      </c>
      <c r="S37">
        <v>0</v>
      </c>
      <c r="T37" t="s">
        <v>45</v>
      </c>
      <c r="U37" s="11">
        <v>39.5</v>
      </c>
      <c r="V37">
        <v>1.49</v>
      </c>
      <c r="W37" s="2">
        <v>4.22</v>
      </c>
      <c r="AC37" s="15"/>
      <c r="AD37" s="15">
        <v>1</v>
      </c>
      <c r="AE37" s="15"/>
      <c r="AF37" s="16">
        <v>3</v>
      </c>
      <c r="AG37" s="17" t="s">
        <v>72</v>
      </c>
      <c r="AX37" t="s">
        <v>123</v>
      </c>
    </row>
    <row r="38" spans="3:64" ht="31.5" x14ac:dyDescent="0.25">
      <c r="C38" s="5">
        <v>33</v>
      </c>
      <c r="D38" s="6">
        <v>1434</v>
      </c>
      <c r="E38" s="7"/>
      <c r="F38" s="8">
        <v>2</v>
      </c>
      <c r="G38" s="7" t="s">
        <v>54</v>
      </c>
      <c r="H38" s="6">
        <v>2</v>
      </c>
      <c r="I38" t="s">
        <v>42</v>
      </c>
      <c r="J38" s="9"/>
      <c r="K38" s="8">
        <v>64</v>
      </c>
      <c r="L38" s="8">
        <v>9</v>
      </c>
      <c r="M38" s="6">
        <v>32.299999999999997</v>
      </c>
      <c r="N38" s="11">
        <v>25</v>
      </c>
      <c r="O38" s="11">
        <v>13</v>
      </c>
      <c r="P38">
        <v>22.2</v>
      </c>
      <c r="Q38">
        <v>16.7</v>
      </c>
      <c r="R38">
        <v>11.1</v>
      </c>
      <c r="S38">
        <v>0</v>
      </c>
      <c r="T38" t="s">
        <v>45</v>
      </c>
      <c r="U38" s="11">
        <v>3.4</v>
      </c>
      <c r="V38">
        <v>13.8</v>
      </c>
      <c r="W38" s="12">
        <v>40.6</v>
      </c>
      <c r="AC38" s="15">
        <v>40.6</v>
      </c>
      <c r="AD38" s="15">
        <v>2.5</v>
      </c>
      <c r="AE38" s="15"/>
      <c r="AF38" s="16">
        <v>2</v>
      </c>
      <c r="AG38" s="17" t="s">
        <v>54</v>
      </c>
      <c r="AI38">
        <f>D38</f>
        <v>1434</v>
      </c>
      <c r="AJ38" s="21">
        <f>AC38</f>
        <v>40.6</v>
      </c>
      <c r="AM38">
        <v>16</v>
      </c>
      <c r="AN38" s="21">
        <f>AJ38+AM38</f>
        <v>56.6</v>
      </c>
      <c r="AP38">
        <v>16</v>
      </c>
      <c r="AW38" t="s">
        <v>120</v>
      </c>
      <c r="AX38">
        <v>1970</v>
      </c>
      <c r="AY38" t="s">
        <v>120</v>
      </c>
      <c r="AZ38" t="s">
        <v>120</v>
      </c>
      <c r="BA38" t="s">
        <v>120</v>
      </c>
      <c r="BB38" t="s">
        <v>120</v>
      </c>
      <c r="BD38" t="s">
        <v>121</v>
      </c>
      <c r="BE38" t="s">
        <v>121</v>
      </c>
      <c r="BF38" t="s">
        <v>121</v>
      </c>
      <c r="BI38" t="s">
        <v>122</v>
      </c>
      <c r="BJ38" t="s">
        <v>122</v>
      </c>
    </row>
    <row r="39" spans="3:64" ht="31.5" x14ac:dyDescent="0.25">
      <c r="C39" s="5">
        <v>34</v>
      </c>
      <c r="D39" s="6">
        <v>1444</v>
      </c>
      <c r="E39" s="7"/>
      <c r="F39" s="8">
        <v>3</v>
      </c>
      <c r="G39" s="7" t="s">
        <v>74</v>
      </c>
      <c r="H39" s="6">
        <v>1</v>
      </c>
      <c r="I39" t="s">
        <v>42</v>
      </c>
      <c r="J39" s="9"/>
      <c r="K39" s="8">
        <v>28</v>
      </c>
      <c r="L39" s="8">
        <v>2</v>
      </c>
      <c r="M39" s="6">
        <v>30.3</v>
      </c>
      <c r="N39" s="11">
        <v>6</v>
      </c>
      <c r="O39" s="11">
        <v>6</v>
      </c>
      <c r="P39">
        <v>16.7</v>
      </c>
      <c r="Q39">
        <v>5.6</v>
      </c>
      <c r="R39">
        <v>22.2</v>
      </c>
      <c r="S39">
        <v>0</v>
      </c>
      <c r="T39" t="s">
        <v>45</v>
      </c>
      <c r="U39" s="11">
        <v>16.600000000000001</v>
      </c>
      <c r="V39">
        <v>0.94</v>
      </c>
      <c r="W39" s="2">
        <v>3.03</v>
      </c>
      <c r="AC39" s="15"/>
      <c r="AD39" s="15">
        <v>1.5</v>
      </c>
      <c r="AE39" s="15"/>
      <c r="AF39" s="16">
        <v>3</v>
      </c>
      <c r="AG39" s="17" t="s">
        <v>74</v>
      </c>
      <c r="AW39" s="28">
        <v>1145</v>
      </c>
      <c r="AX39" s="28">
        <v>1134</v>
      </c>
      <c r="AY39" s="28">
        <v>1614</v>
      </c>
      <c r="AZ39" s="28">
        <v>1155</v>
      </c>
      <c r="BA39" s="28">
        <v>1491</v>
      </c>
      <c r="BB39" s="28">
        <v>1023</v>
      </c>
      <c r="BC39" s="28">
        <v>1057</v>
      </c>
      <c r="BD39" s="29">
        <v>1154</v>
      </c>
      <c r="BE39" s="29">
        <v>1434</v>
      </c>
      <c r="BF39" s="29">
        <v>1136</v>
      </c>
      <c r="BG39">
        <v>1402</v>
      </c>
      <c r="BH39">
        <v>1314</v>
      </c>
      <c r="BI39">
        <v>1046</v>
      </c>
      <c r="BJ39">
        <v>1261</v>
      </c>
    </row>
    <row r="40" spans="3:64" ht="31.5" x14ac:dyDescent="0.25">
      <c r="C40" s="5">
        <v>35</v>
      </c>
      <c r="D40" s="6">
        <v>1452</v>
      </c>
      <c r="E40" s="7"/>
      <c r="F40" s="8">
        <v>3</v>
      </c>
      <c r="G40" s="7" t="s">
        <v>75</v>
      </c>
      <c r="H40" s="6">
        <v>1</v>
      </c>
      <c r="I40" t="s">
        <v>42</v>
      </c>
      <c r="J40" s="9"/>
      <c r="K40" s="8">
        <v>52</v>
      </c>
      <c r="L40" s="8">
        <v>4</v>
      </c>
      <c r="M40" s="6">
        <v>31.7</v>
      </c>
      <c r="N40" s="11">
        <v>10</v>
      </c>
      <c r="O40" s="11">
        <v>10</v>
      </c>
      <c r="P40">
        <v>8.3000000000000007</v>
      </c>
      <c r="Q40">
        <v>20.8</v>
      </c>
      <c r="R40">
        <v>22.2</v>
      </c>
      <c r="S40">
        <v>0</v>
      </c>
      <c r="T40" t="s">
        <v>45</v>
      </c>
      <c r="U40" s="11">
        <v>16.600000000000001</v>
      </c>
      <c r="V40">
        <v>3.73</v>
      </c>
      <c r="W40" s="2">
        <v>12.5</v>
      </c>
      <c r="AC40" s="15"/>
      <c r="AD40" s="15">
        <v>3.6</v>
      </c>
      <c r="AE40" s="15"/>
      <c r="AF40" s="16">
        <v>3</v>
      </c>
      <c r="AG40" s="17" t="s">
        <v>75</v>
      </c>
      <c r="AW40">
        <v>1960</v>
      </c>
      <c r="AX40">
        <v>1966</v>
      </c>
      <c r="AY40">
        <v>1960</v>
      </c>
      <c r="AZ40">
        <v>1960</v>
      </c>
      <c r="BA40">
        <v>1960</v>
      </c>
      <c r="BB40">
        <v>1965</v>
      </c>
      <c r="BC40">
        <v>1967</v>
      </c>
      <c r="BD40">
        <v>1960</v>
      </c>
      <c r="BE40">
        <v>1960</v>
      </c>
      <c r="BF40">
        <v>1960</v>
      </c>
      <c r="BG40">
        <v>1967</v>
      </c>
      <c r="BH40">
        <v>1967</v>
      </c>
      <c r="BI40">
        <v>1966</v>
      </c>
      <c r="BJ40">
        <v>1965</v>
      </c>
    </row>
    <row r="41" spans="3:64" ht="31.5" x14ac:dyDescent="0.25">
      <c r="C41" s="5">
        <v>36</v>
      </c>
      <c r="D41" s="6">
        <v>1453</v>
      </c>
      <c r="E41" s="7"/>
      <c r="F41" s="8">
        <v>3</v>
      </c>
      <c r="G41" s="7" t="s">
        <v>76</v>
      </c>
      <c r="H41" s="6">
        <v>2</v>
      </c>
      <c r="I41" t="s">
        <v>42</v>
      </c>
      <c r="J41" s="9"/>
      <c r="K41" s="8">
        <v>41</v>
      </c>
      <c r="L41" s="8">
        <v>8</v>
      </c>
      <c r="M41" s="6">
        <v>29.6</v>
      </c>
      <c r="N41" s="11">
        <v>6</v>
      </c>
      <c r="O41" s="11">
        <v>6</v>
      </c>
      <c r="P41">
        <v>0</v>
      </c>
      <c r="Q41">
        <v>0</v>
      </c>
      <c r="R41">
        <v>0</v>
      </c>
      <c r="S41">
        <v>0</v>
      </c>
      <c r="T41" t="s">
        <v>60</v>
      </c>
      <c r="U41" s="11">
        <v>5.9</v>
      </c>
      <c r="V41">
        <v>1.93</v>
      </c>
      <c r="W41" s="2">
        <v>8.84</v>
      </c>
      <c r="AC41" s="15"/>
      <c r="AD41" s="15">
        <v>1.4</v>
      </c>
      <c r="AE41" s="15"/>
      <c r="AF41" s="16">
        <v>3</v>
      </c>
      <c r="AG41" s="17" t="s">
        <v>76</v>
      </c>
      <c r="AW41">
        <v>27</v>
      </c>
      <c r="AY41">
        <v>38.799999999999997</v>
      </c>
      <c r="AZ41">
        <v>44.6</v>
      </c>
      <c r="BA41">
        <v>21</v>
      </c>
      <c r="BB41">
        <v>38.299999999999997</v>
      </c>
      <c r="BD41">
        <v>19.100000000000001</v>
      </c>
      <c r="BE41">
        <v>40.6</v>
      </c>
      <c r="BF41">
        <v>36.6</v>
      </c>
      <c r="BI41">
        <v>23.2</v>
      </c>
      <c r="BJ41">
        <v>43.1</v>
      </c>
    </row>
    <row r="42" spans="3:64" ht="31.5" x14ac:dyDescent="0.25">
      <c r="C42" s="5">
        <v>37</v>
      </c>
      <c r="D42" s="6">
        <v>1491</v>
      </c>
      <c r="E42" s="7"/>
      <c r="F42" s="8">
        <v>2</v>
      </c>
      <c r="G42" s="7" t="s">
        <v>77</v>
      </c>
      <c r="H42" s="6">
        <v>1</v>
      </c>
      <c r="I42" t="s">
        <v>42</v>
      </c>
      <c r="J42" s="9"/>
      <c r="K42" s="8">
        <v>72</v>
      </c>
      <c r="L42" s="8">
        <v>5</v>
      </c>
      <c r="M42" s="6">
        <v>24</v>
      </c>
      <c r="N42" s="11">
        <v>25</v>
      </c>
      <c r="O42" s="11">
        <v>13</v>
      </c>
      <c r="P42">
        <v>22.2</v>
      </c>
      <c r="Q42">
        <v>11.1</v>
      </c>
      <c r="R42">
        <v>11.1</v>
      </c>
      <c r="S42">
        <v>0</v>
      </c>
      <c r="T42" t="s">
        <v>43</v>
      </c>
      <c r="U42" s="11">
        <v>3.7</v>
      </c>
      <c r="V42">
        <v>8.3000000000000007</v>
      </c>
      <c r="W42" s="12">
        <v>20.9</v>
      </c>
      <c r="AC42" s="15">
        <v>20.9</v>
      </c>
      <c r="AD42" s="15">
        <v>5.9</v>
      </c>
      <c r="AE42" s="15"/>
      <c r="AF42" s="16">
        <v>2</v>
      </c>
      <c r="AG42" s="17" t="s">
        <v>77</v>
      </c>
      <c r="AI42">
        <f>D42</f>
        <v>1491</v>
      </c>
      <c r="AJ42" s="21">
        <f>AC42</f>
        <v>20.9</v>
      </c>
      <c r="AM42">
        <v>5.18</v>
      </c>
      <c r="AN42" s="21">
        <f>AJ42+AM42</f>
        <v>26.08</v>
      </c>
      <c r="AP42">
        <v>5.18</v>
      </c>
      <c r="AW42">
        <v>9.15</v>
      </c>
      <c r="AY42">
        <v>7.42</v>
      </c>
      <c r="AZ42">
        <v>14.6</v>
      </c>
      <c r="BA42">
        <v>5.18</v>
      </c>
      <c r="BB42">
        <v>11.6</v>
      </c>
      <c r="BD42">
        <v>9.99</v>
      </c>
      <c r="BE42">
        <v>16</v>
      </c>
      <c r="BF42">
        <v>15.3</v>
      </c>
      <c r="BI42">
        <v>4.6399999999999997</v>
      </c>
      <c r="BJ42">
        <v>6.55</v>
      </c>
    </row>
    <row r="43" spans="3:64" ht="31.5" x14ac:dyDescent="0.25">
      <c r="C43" s="5">
        <v>38</v>
      </c>
      <c r="D43" s="6">
        <v>1493</v>
      </c>
      <c r="E43" s="7"/>
      <c r="F43" s="8">
        <v>3</v>
      </c>
      <c r="G43" s="7" t="s">
        <v>78</v>
      </c>
      <c r="H43" s="6">
        <v>2</v>
      </c>
      <c r="I43" t="s">
        <v>42</v>
      </c>
      <c r="J43" s="9"/>
      <c r="K43" s="8">
        <v>47</v>
      </c>
      <c r="L43" s="8">
        <v>8</v>
      </c>
      <c r="M43" s="6">
        <v>26.7</v>
      </c>
      <c r="N43" s="11">
        <v>7</v>
      </c>
      <c r="O43" s="11">
        <v>7</v>
      </c>
      <c r="P43">
        <v>25</v>
      </c>
      <c r="Q43">
        <v>8.3000000000000007</v>
      </c>
      <c r="R43">
        <v>0</v>
      </c>
      <c r="S43">
        <v>0</v>
      </c>
      <c r="T43" t="s">
        <v>45</v>
      </c>
      <c r="U43" s="11">
        <v>2.5</v>
      </c>
      <c r="V43">
        <v>2.35</v>
      </c>
      <c r="W43" s="2">
        <v>8.1199999999999992</v>
      </c>
      <c r="AC43" s="15"/>
      <c r="AD43" s="15">
        <v>1.4</v>
      </c>
      <c r="AE43" s="15"/>
      <c r="AF43" s="16">
        <v>3</v>
      </c>
      <c r="AG43" s="17" t="s">
        <v>78</v>
      </c>
      <c r="AW43">
        <v>36.15</v>
      </c>
      <c r="AY43">
        <v>46.22</v>
      </c>
      <c r="AZ43">
        <v>59.2</v>
      </c>
      <c r="BA43">
        <v>26.18</v>
      </c>
      <c r="BB43">
        <v>49.9</v>
      </c>
      <c r="BD43">
        <v>29.090000000000003</v>
      </c>
      <c r="BE43">
        <v>56.6</v>
      </c>
      <c r="BF43">
        <v>51.900000000000006</v>
      </c>
      <c r="BI43">
        <v>27.84</v>
      </c>
      <c r="BJ43">
        <v>49.65</v>
      </c>
    </row>
    <row r="44" spans="3:64" ht="31.5" x14ac:dyDescent="0.25">
      <c r="C44" s="5">
        <v>39</v>
      </c>
      <c r="D44" s="6">
        <v>1511</v>
      </c>
      <c r="E44" s="7"/>
      <c r="F44" s="8">
        <v>2</v>
      </c>
      <c r="G44" s="7" t="s">
        <v>79</v>
      </c>
      <c r="H44" s="6">
        <v>1</v>
      </c>
      <c r="I44" t="s">
        <v>42</v>
      </c>
      <c r="J44" s="9"/>
      <c r="K44" s="8">
        <v>43</v>
      </c>
      <c r="L44" s="8">
        <v>3</v>
      </c>
      <c r="M44" s="6">
        <v>23.9</v>
      </c>
      <c r="N44" s="11">
        <v>13</v>
      </c>
      <c r="O44" s="11">
        <v>1</v>
      </c>
      <c r="P44">
        <v>22.2</v>
      </c>
      <c r="Q44">
        <v>5.6</v>
      </c>
      <c r="R44">
        <v>11.1</v>
      </c>
      <c r="S44">
        <v>0</v>
      </c>
      <c r="T44" t="s">
        <v>45</v>
      </c>
      <c r="U44" s="11">
        <v>4.7</v>
      </c>
      <c r="V44">
        <v>2.7</v>
      </c>
      <c r="W44" s="12">
        <v>8.6999999999999993</v>
      </c>
      <c r="AC44" s="15">
        <v>8.6999999999999993</v>
      </c>
      <c r="AD44" s="15">
        <v>2.1</v>
      </c>
      <c r="AE44" s="15"/>
      <c r="AF44" s="16">
        <v>2</v>
      </c>
      <c r="AG44" s="22" t="s">
        <v>79</v>
      </c>
    </row>
    <row r="45" spans="3:64" ht="31.5" x14ac:dyDescent="0.25">
      <c r="C45" s="5">
        <v>40</v>
      </c>
      <c r="D45" s="6">
        <v>1544</v>
      </c>
      <c r="E45" s="7"/>
      <c r="F45" s="8">
        <v>3</v>
      </c>
      <c r="G45" s="7" t="s">
        <v>80</v>
      </c>
      <c r="H45" s="6">
        <v>1</v>
      </c>
      <c r="I45" t="s">
        <v>42</v>
      </c>
      <c r="J45" s="9"/>
      <c r="K45" s="8">
        <v>56</v>
      </c>
      <c r="L45" s="8">
        <v>4</v>
      </c>
      <c r="M45" s="6">
        <v>21</v>
      </c>
      <c r="N45" s="11">
        <v>11</v>
      </c>
      <c r="O45" s="11">
        <v>11</v>
      </c>
      <c r="P45">
        <v>22.2</v>
      </c>
      <c r="Q45">
        <v>16.7</v>
      </c>
      <c r="R45">
        <v>22.2</v>
      </c>
      <c r="S45">
        <v>25</v>
      </c>
      <c r="T45" t="s">
        <v>45</v>
      </c>
      <c r="U45" s="11">
        <v>17.2</v>
      </c>
      <c r="V45">
        <v>4.59</v>
      </c>
      <c r="W45" s="2">
        <v>15.4</v>
      </c>
      <c r="AC45" s="15"/>
      <c r="AD45" s="15">
        <v>3.6</v>
      </c>
      <c r="AE45" s="15"/>
      <c r="AF45" s="16">
        <v>3</v>
      </c>
      <c r="AG45" s="17" t="s">
        <v>80</v>
      </c>
      <c r="AW45">
        <v>9.15</v>
      </c>
      <c r="AY45">
        <v>7.42</v>
      </c>
      <c r="AZ45">
        <v>14.6</v>
      </c>
      <c r="BA45">
        <v>5.18</v>
      </c>
      <c r="BB45">
        <v>11.6</v>
      </c>
      <c r="BD45">
        <v>9.99</v>
      </c>
      <c r="BE45">
        <v>16</v>
      </c>
      <c r="BF45">
        <v>15.3</v>
      </c>
      <c r="BI45">
        <v>27.84</v>
      </c>
      <c r="BJ45">
        <v>49.65</v>
      </c>
      <c r="BL45">
        <f t="shared" ref="BL45:BL46" si="2">AVERAGE(AW45:BJ45)</f>
        <v>16.672999999999998</v>
      </c>
    </row>
    <row r="46" spans="3:64" ht="31.5" x14ac:dyDescent="0.25">
      <c r="C46" s="5">
        <v>41</v>
      </c>
      <c r="D46" s="6">
        <v>1550</v>
      </c>
      <c r="E46" s="7"/>
      <c r="F46" s="8">
        <v>2</v>
      </c>
      <c r="G46" s="7" t="s">
        <v>49</v>
      </c>
      <c r="H46" s="6">
        <v>2</v>
      </c>
      <c r="I46" t="s">
        <v>42</v>
      </c>
      <c r="J46" s="9"/>
      <c r="K46" s="8">
        <v>73</v>
      </c>
      <c r="L46" s="8">
        <v>10</v>
      </c>
      <c r="M46" s="6">
        <v>25.9</v>
      </c>
      <c r="N46" s="11">
        <v>5</v>
      </c>
      <c r="O46" s="11">
        <v>1</v>
      </c>
      <c r="P46">
        <v>8.3000000000000007</v>
      </c>
      <c r="Q46">
        <v>0</v>
      </c>
      <c r="R46">
        <v>0</v>
      </c>
      <c r="S46">
        <v>0</v>
      </c>
      <c r="T46" t="s">
        <v>43</v>
      </c>
      <c r="U46" s="11">
        <v>6.2</v>
      </c>
      <c r="V46">
        <v>4.3</v>
      </c>
      <c r="W46" s="12">
        <v>23.6</v>
      </c>
      <c r="AC46" s="15">
        <v>23.6</v>
      </c>
      <c r="AD46" s="15">
        <v>2.9</v>
      </c>
      <c r="AE46" s="15"/>
      <c r="AF46" s="16">
        <v>2</v>
      </c>
      <c r="AG46" s="17" t="s">
        <v>49</v>
      </c>
      <c r="AK46" s="21"/>
      <c r="AW46">
        <f>AW41+AW42</f>
        <v>36.15</v>
      </c>
      <c r="AY46">
        <f t="shared" ref="AY46:BB46" si="3">AY41+AY42</f>
        <v>46.22</v>
      </c>
      <c r="AZ46">
        <f t="shared" si="3"/>
        <v>59.2</v>
      </c>
      <c r="BA46">
        <f t="shared" si="3"/>
        <v>26.18</v>
      </c>
      <c r="BB46">
        <f t="shared" si="3"/>
        <v>49.9</v>
      </c>
      <c r="BD46">
        <f>BD41+BD42</f>
        <v>29.090000000000003</v>
      </c>
      <c r="BE46">
        <f>BE41+BE42</f>
        <v>56.6</v>
      </c>
      <c r="BF46">
        <f>BF41+BF42</f>
        <v>51.900000000000006</v>
      </c>
      <c r="BI46">
        <f>BI41+BI42</f>
        <v>27.84</v>
      </c>
      <c r="BJ46">
        <f>BJ41+BJ42</f>
        <v>49.65</v>
      </c>
      <c r="BL46">
        <f t="shared" si="2"/>
        <v>43.272999999999996</v>
      </c>
    </row>
    <row r="47" spans="3:64" ht="31.5" x14ac:dyDescent="0.25">
      <c r="C47" s="5">
        <v>42</v>
      </c>
      <c r="D47" s="6">
        <v>1559</v>
      </c>
      <c r="E47" s="7"/>
      <c r="F47" s="8">
        <v>3</v>
      </c>
      <c r="G47" s="7" t="s">
        <v>81</v>
      </c>
      <c r="H47" s="6">
        <v>1</v>
      </c>
      <c r="I47" t="s">
        <v>42</v>
      </c>
      <c r="J47" s="9"/>
      <c r="K47" s="8">
        <v>24</v>
      </c>
      <c r="L47" s="8">
        <v>1</v>
      </c>
      <c r="M47" s="6">
        <v>34.299999999999997</v>
      </c>
      <c r="N47" s="11">
        <v>8</v>
      </c>
      <c r="O47" s="11">
        <v>7</v>
      </c>
      <c r="P47">
        <v>11.1</v>
      </c>
      <c r="Q47">
        <v>11.1</v>
      </c>
      <c r="R47">
        <v>11.1</v>
      </c>
      <c r="S47">
        <v>0</v>
      </c>
      <c r="T47" t="s">
        <v>60</v>
      </c>
      <c r="U47" s="11">
        <v>17</v>
      </c>
      <c r="V47">
        <v>0.85</v>
      </c>
      <c r="W47" s="2">
        <v>2.67</v>
      </c>
      <c r="AC47" s="15"/>
      <c r="AD47" s="15">
        <v>1</v>
      </c>
      <c r="AE47" s="15"/>
      <c r="AF47" s="16">
        <v>3</v>
      </c>
      <c r="AG47" s="17" t="s">
        <v>81</v>
      </c>
    </row>
    <row r="48" spans="3:64" ht="31.5" x14ac:dyDescent="0.25">
      <c r="C48" s="5">
        <v>43</v>
      </c>
      <c r="D48" s="6">
        <v>1567</v>
      </c>
      <c r="E48" s="7"/>
      <c r="F48" s="8">
        <v>3</v>
      </c>
      <c r="G48" s="7" t="s">
        <v>82</v>
      </c>
      <c r="H48" s="6">
        <v>2</v>
      </c>
      <c r="I48" t="s">
        <v>83</v>
      </c>
      <c r="J48" s="9"/>
      <c r="K48" s="8">
        <v>60</v>
      </c>
      <c r="L48" s="8">
        <v>9</v>
      </c>
      <c r="M48" s="6">
        <v>23.4</v>
      </c>
      <c r="N48" s="11">
        <v>3</v>
      </c>
      <c r="O48" s="11">
        <v>0</v>
      </c>
      <c r="P48">
        <v>16.7</v>
      </c>
      <c r="Q48">
        <v>5.6</v>
      </c>
      <c r="R48">
        <v>11.1</v>
      </c>
      <c r="S48">
        <v>0</v>
      </c>
      <c r="T48" t="s">
        <v>45</v>
      </c>
      <c r="U48" s="11">
        <v>15.7</v>
      </c>
      <c r="V48">
        <v>2.5</v>
      </c>
      <c r="W48" s="2">
        <v>8.83</v>
      </c>
      <c r="AC48" s="15"/>
      <c r="AD48" s="15">
        <v>2.5</v>
      </c>
      <c r="AE48" s="15"/>
      <c r="AF48" s="16">
        <v>3</v>
      </c>
      <c r="AG48" s="17" t="s">
        <v>82</v>
      </c>
    </row>
    <row r="49" spans="3:43" ht="31.5" x14ac:dyDescent="0.25">
      <c r="C49" s="5">
        <v>44</v>
      </c>
      <c r="D49" s="6">
        <v>1583</v>
      </c>
      <c r="E49" s="7"/>
      <c r="F49" s="8">
        <v>3</v>
      </c>
      <c r="G49" s="7" t="s">
        <v>84</v>
      </c>
      <c r="H49" s="6">
        <v>1</v>
      </c>
      <c r="I49" t="s">
        <v>73</v>
      </c>
      <c r="J49" s="9"/>
      <c r="K49" s="8">
        <v>40</v>
      </c>
      <c r="L49" s="8">
        <v>3</v>
      </c>
      <c r="M49" s="6">
        <v>19.600000000000001</v>
      </c>
      <c r="N49" s="11">
        <v>12</v>
      </c>
      <c r="O49" s="11">
        <v>12</v>
      </c>
      <c r="P49">
        <v>12.5</v>
      </c>
      <c r="Q49">
        <v>1.4</v>
      </c>
      <c r="R49">
        <v>11.1</v>
      </c>
      <c r="S49">
        <v>0</v>
      </c>
      <c r="T49" t="s">
        <v>45</v>
      </c>
      <c r="U49" s="11">
        <v>19.899999999999999</v>
      </c>
      <c r="V49">
        <v>5.08</v>
      </c>
      <c r="W49" s="2">
        <v>14.5</v>
      </c>
      <c r="AC49" s="15"/>
      <c r="AD49" s="15">
        <v>2.1</v>
      </c>
      <c r="AE49" s="15"/>
      <c r="AF49" s="16">
        <v>3</v>
      </c>
      <c r="AG49" s="17" t="s">
        <v>84</v>
      </c>
    </row>
    <row r="50" spans="3:43" ht="31.5" x14ac:dyDescent="0.25">
      <c r="C50" s="5">
        <v>45</v>
      </c>
      <c r="D50" s="6">
        <v>1614</v>
      </c>
      <c r="E50" s="7"/>
      <c r="F50" s="8">
        <v>2</v>
      </c>
      <c r="G50" s="7" t="s">
        <v>85</v>
      </c>
      <c r="H50" s="6">
        <v>1</v>
      </c>
      <c r="I50" t="s">
        <v>73</v>
      </c>
      <c r="J50" s="9"/>
      <c r="K50" s="8">
        <v>70</v>
      </c>
      <c r="L50" s="8">
        <v>5</v>
      </c>
      <c r="M50" s="6">
        <v>26.4</v>
      </c>
      <c r="N50" s="11">
        <v>25</v>
      </c>
      <c r="O50" s="11">
        <v>13</v>
      </c>
      <c r="P50">
        <v>27.8</v>
      </c>
      <c r="Q50">
        <v>5.6</v>
      </c>
      <c r="R50">
        <v>11.1</v>
      </c>
      <c r="S50">
        <v>50</v>
      </c>
      <c r="T50" t="s">
        <v>45</v>
      </c>
      <c r="U50" s="11">
        <v>5.9</v>
      </c>
      <c r="V50">
        <v>25.4</v>
      </c>
      <c r="W50" s="12">
        <v>38.700000000000003</v>
      </c>
      <c r="AC50" s="15">
        <v>38.700000000000003</v>
      </c>
      <c r="AD50" s="15">
        <v>5.9</v>
      </c>
      <c r="AE50" s="15"/>
      <c r="AF50" s="16">
        <v>2</v>
      </c>
      <c r="AG50" s="17" t="s">
        <v>85</v>
      </c>
      <c r="AI50">
        <f>D50</f>
        <v>1614</v>
      </c>
      <c r="AJ50" s="21">
        <f>AC50</f>
        <v>38.700000000000003</v>
      </c>
      <c r="AM50">
        <v>7.42</v>
      </c>
      <c r="AN50" s="21">
        <f>AJ50+AM50</f>
        <v>46.120000000000005</v>
      </c>
      <c r="AP50">
        <v>7.42</v>
      </c>
    </row>
    <row r="51" spans="3:43" ht="31.5" x14ac:dyDescent="0.25">
      <c r="C51" s="5">
        <v>46</v>
      </c>
      <c r="D51" s="6">
        <v>1627</v>
      </c>
      <c r="E51" s="7"/>
      <c r="F51" s="8">
        <v>2</v>
      </c>
      <c r="G51" s="7" t="s">
        <v>86</v>
      </c>
      <c r="H51" s="6">
        <v>1</v>
      </c>
      <c r="I51" t="s">
        <v>42</v>
      </c>
      <c r="J51" s="9"/>
      <c r="K51" s="8">
        <v>60</v>
      </c>
      <c r="L51" s="8">
        <v>4</v>
      </c>
      <c r="M51" s="6">
        <v>31</v>
      </c>
      <c r="N51" s="11">
        <v>6</v>
      </c>
      <c r="O51" s="11">
        <v>3</v>
      </c>
      <c r="P51">
        <v>11.1</v>
      </c>
      <c r="Q51">
        <v>5.6</v>
      </c>
      <c r="R51">
        <v>11.1</v>
      </c>
      <c r="S51">
        <v>0</v>
      </c>
      <c r="T51" t="s">
        <v>45</v>
      </c>
      <c r="U51" s="11">
        <v>17.8</v>
      </c>
      <c r="V51">
        <v>5.9</v>
      </c>
      <c r="W51" s="12">
        <v>17.600000000000001</v>
      </c>
      <c r="AC51" s="15">
        <v>17.600000000000001</v>
      </c>
      <c r="AD51" s="15">
        <v>3.6</v>
      </c>
      <c r="AE51" s="15"/>
      <c r="AF51" s="16">
        <v>2</v>
      </c>
      <c r="AG51" s="17" t="s">
        <v>86</v>
      </c>
      <c r="AK51" s="21"/>
    </row>
    <row r="52" spans="3:43" ht="31.5" x14ac:dyDescent="0.25">
      <c r="C52" s="5">
        <v>47</v>
      </c>
      <c r="D52" s="6">
        <v>1681</v>
      </c>
      <c r="E52" s="7"/>
      <c r="F52" s="8">
        <v>3</v>
      </c>
      <c r="G52" s="7" t="s">
        <v>80</v>
      </c>
      <c r="H52" s="6">
        <v>2</v>
      </c>
      <c r="I52" t="s">
        <v>42</v>
      </c>
      <c r="J52" s="9"/>
      <c r="K52" s="8">
        <v>59</v>
      </c>
      <c r="L52" s="8">
        <v>9</v>
      </c>
      <c r="M52" s="6">
        <v>28.4</v>
      </c>
      <c r="N52" s="11">
        <v>11</v>
      </c>
      <c r="O52" s="11">
        <v>11</v>
      </c>
      <c r="P52">
        <v>8.3000000000000007</v>
      </c>
      <c r="Q52">
        <v>0</v>
      </c>
      <c r="R52">
        <v>11.1</v>
      </c>
      <c r="S52">
        <v>25</v>
      </c>
      <c r="T52" t="s">
        <v>45</v>
      </c>
      <c r="U52" s="11">
        <v>17.2</v>
      </c>
      <c r="V52">
        <v>3.89</v>
      </c>
      <c r="W52" s="2">
        <v>15</v>
      </c>
      <c r="AC52" s="15"/>
      <c r="AD52" s="15">
        <v>2.5</v>
      </c>
      <c r="AE52" s="15"/>
      <c r="AF52" s="16">
        <v>3</v>
      </c>
      <c r="AG52" s="17" t="s">
        <v>80</v>
      </c>
    </row>
    <row r="53" spans="3:43" ht="31.5" x14ac:dyDescent="0.25">
      <c r="C53" s="5">
        <v>48</v>
      </c>
      <c r="D53" s="13">
        <v>1690</v>
      </c>
      <c r="E53" s="7"/>
      <c r="F53" s="8">
        <v>3</v>
      </c>
      <c r="G53" s="7" t="s">
        <v>68</v>
      </c>
      <c r="H53" s="2">
        <v>1</v>
      </c>
      <c r="I53" t="s">
        <v>42</v>
      </c>
      <c r="J53" s="9"/>
      <c r="K53" s="8">
        <v>27</v>
      </c>
      <c r="L53" s="8">
        <v>2</v>
      </c>
      <c r="M53" s="2">
        <v>37.1</v>
      </c>
      <c r="N53" s="11">
        <v>3</v>
      </c>
      <c r="O53" s="11">
        <v>3</v>
      </c>
      <c r="P53">
        <v>0</v>
      </c>
      <c r="Q53">
        <v>0</v>
      </c>
      <c r="R53">
        <v>0</v>
      </c>
      <c r="S53">
        <v>0</v>
      </c>
      <c r="T53" t="s">
        <v>43</v>
      </c>
      <c r="U53" s="11">
        <v>22.4</v>
      </c>
      <c r="V53">
        <v>1.35</v>
      </c>
      <c r="W53" s="2">
        <v>4.6900000000000004</v>
      </c>
      <c r="AC53" s="18"/>
      <c r="AD53" s="15">
        <v>1.5</v>
      </c>
      <c r="AE53" s="18"/>
      <c r="AF53" s="16">
        <v>3</v>
      </c>
      <c r="AG53" s="17" t="s">
        <v>68</v>
      </c>
    </row>
    <row r="54" spans="3:43" ht="31.5" x14ac:dyDescent="0.25">
      <c r="C54" s="5">
        <v>49</v>
      </c>
      <c r="D54" s="6">
        <v>1702</v>
      </c>
      <c r="E54" s="7"/>
      <c r="F54" s="8">
        <v>2</v>
      </c>
      <c r="G54" s="7" t="s">
        <v>87</v>
      </c>
      <c r="H54" s="6">
        <v>1</v>
      </c>
      <c r="I54" t="s">
        <v>42</v>
      </c>
      <c r="J54" s="9"/>
      <c r="K54" s="8">
        <v>54</v>
      </c>
      <c r="L54" s="8">
        <v>4</v>
      </c>
      <c r="M54" s="6">
        <v>32.4</v>
      </c>
      <c r="N54" s="11">
        <v>13</v>
      </c>
      <c r="O54" s="11">
        <v>7</v>
      </c>
      <c r="P54">
        <v>11.1</v>
      </c>
      <c r="Q54">
        <v>0</v>
      </c>
      <c r="R54">
        <v>11.1</v>
      </c>
      <c r="S54">
        <v>0</v>
      </c>
      <c r="T54" t="s">
        <v>45</v>
      </c>
      <c r="U54" s="11">
        <v>9.5</v>
      </c>
      <c r="V54">
        <v>2.5</v>
      </c>
      <c r="W54" s="12">
        <v>9.4700000000000006</v>
      </c>
      <c r="AC54" s="15">
        <v>9.4700000000000006</v>
      </c>
      <c r="AD54" s="15">
        <v>3.6</v>
      </c>
      <c r="AE54" s="15"/>
      <c r="AF54" s="16">
        <v>2</v>
      </c>
      <c r="AG54" s="17" t="s">
        <v>87</v>
      </c>
      <c r="AK54" s="21"/>
    </row>
    <row r="55" spans="3:43" ht="31.5" x14ac:dyDescent="0.25">
      <c r="C55" s="5">
        <v>50</v>
      </c>
      <c r="D55" s="6">
        <v>1714</v>
      </c>
      <c r="E55" s="7"/>
      <c r="F55" s="8">
        <v>3</v>
      </c>
      <c r="G55" s="7" t="s">
        <v>88</v>
      </c>
      <c r="H55" s="6">
        <v>2</v>
      </c>
      <c r="I55" t="s">
        <v>42</v>
      </c>
      <c r="J55" s="9"/>
      <c r="K55" s="8">
        <v>64</v>
      </c>
      <c r="L55" s="8">
        <v>9</v>
      </c>
      <c r="M55" s="6">
        <v>26.6</v>
      </c>
      <c r="N55" s="11">
        <v>14</v>
      </c>
      <c r="O55" s="11">
        <v>13</v>
      </c>
      <c r="P55">
        <v>19.399999999999999</v>
      </c>
      <c r="Q55">
        <v>5.6</v>
      </c>
      <c r="R55">
        <v>11.1</v>
      </c>
      <c r="S55">
        <v>100</v>
      </c>
      <c r="T55" t="s">
        <v>45</v>
      </c>
      <c r="U55" s="11">
        <v>16.2</v>
      </c>
      <c r="V55">
        <v>1.59</v>
      </c>
      <c r="W55" s="2">
        <v>10.1</v>
      </c>
      <c r="AC55" s="15"/>
      <c r="AD55" s="15">
        <v>2.5</v>
      </c>
      <c r="AE55" s="15"/>
      <c r="AF55" s="16">
        <v>3</v>
      </c>
      <c r="AG55" s="17" t="s">
        <v>88</v>
      </c>
    </row>
    <row r="56" spans="3:43" ht="31.5" x14ac:dyDescent="0.25">
      <c r="C56" s="5">
        <v>51</v>
      </c>
      <c r="D56" s="6">
        <v>1728</v>
      </c>
      <c r="E56" s="7"/>
      <c r="F56" s="8">
        <v>2</v>
      </c>
      <c r="G56" s="7" t="s">
        <v>89</v>
      </c>
      <c r="H56" s="6">
        <v>1</v>
      </c>
      <c r="I56" t="s">
        <v>42</v>
      </c>
      <c r="J56" s="9"/>
      <c r="K56" s="8">
        <v>45</v>
      </c>
      <c r="L56" s="8">
        <v>3</v>
      </c>
      <c r="M56" s="6">
        <v>25.4</v>
      </c>
      <c r="N56" s="11">
        <v>12</v>
      </c>
      <c r="O56" s="11">
        <v>0</v>
      </c>
      <c r="P56">
        <v>27.8</v>
      </c>
      <c r="Q56">
        <v>5.6</v>
      </c>
      <c r="R56">
        <v>5.6</v>
      </c>
      <c r="S56">
        <v>50</v>
      </c>
      <c r="T56" t="s">
        <v>45</v>
      </c>
      <c r="U56" s="11">
        <v>5.9</v>
      </c>
      <c r="V56">
        <v>5.4</v>
      </c>
      <c r="W56" s="12">
        <v>14</v>
      </c>
      <c r="AC56" s="15">
        <v>14</v>
      </c>
      <c r="AD56" s="15">
        <v>2.1</v>
      </c>
      <c r="AE56" s="15"/>
      <c r="AF56" s="16">
        <v>2</v>
      </c>
      <c r="AG56" s="22" t="s">
        <v>89</v>
      </c>
    </row>
    <row r="57" spans="3:43" ht="31.5" x14ac:dyDescent="0.25">
      <c r="C57" s="14">
        <v>52</v>
      </c>
      <c r="D57" s="6">
        <v>1735</v>
      </c>
      <c r="E57" s="7"/>
      <c r="F57" s="8">
        <v>3</v>
      </c>
      <c r="G57" s="7" t="s">
        <v>90</v>
      </c>
      <c r="H57" s="6">
        <v>1</v>
      </c>
      <c r="I57" t="s">
        <v>42</v>
      </c>
      <c r="J57" s="9"/>
      <c r="K57" s="8">
        <v>23</v>
      </c>
      <c r="L57" s="8">
        <v>1</v>
      </c>
      <c r="M57" s="6">
        <v>29.4</v>
      </c>
      <c r="N57" s="11">
        <v>13</v>
      </c>
      <c r="O57" s="11">
        <v>13</v>
      </c>
      <c r="P57">
        <v>8.3000000000000007</v>
      </c>
      <c r="Q57">
        <v>0</v>
      </c>
      <c r="R57">
        <v>22.2</v>
      </c>
      <c r="S57">
        <v>50</v>
      </c>
      <c r="T57" t="s">
        <v>43</v>
      </c>
      <c r="U57" s="11">
        <v>8.3000000000000007</v>
      </c>
      <c r="V57">
        <v>2.1</v>
      </c>
      <c r="W57" s="2">
        <v>5.98</v>
      </c>
      <c r="AC57" s="11"/>
      <c r="AD57" s="10">
        <v>1</v>
      </c>
      <c r="AE57" s="11"/>
      <c r="AF57" s="19">
        <v>3</v>
      </c>
      <c r="AG57" s="20" t="s">
        <v>90</v>
      </c>
    </row>
    <row r="58" spans="3:43" x14ac:dyDescent="0.25">
      <c r="C58" s="1"/>
      <c r="D58" s="2"/>
      <c r="H58" s="2"/>
      <c r="M58" s="2"/>
      <c r="V58" s="2"/>
      <c r="W58" s="2"/>
    </row>
    <row r="59" spans="3:43" x14ac:dyDescent="0.25">
      <c r="AN59" t="s">
        <v>118</v>
      </c>
      <c r="AP59" t="s">
        <v>114</v>
      </c>
    </row>
    <row r="60" spans="3:43" x14ac:dyDescent="0.25">
      <c r="AJ60" s="21"/>
      <c r="AK60" s="21"/>
      <c r="AM60" s="21"/>
      <c r="AN60" s="21">
        <f>AVERAGE(AN6:AN56)</f>
        <v>43.253</v>
      </c>
      <c r="AO60" t="s">
        <v>117</v>
      </c>
      <c r="AP60" s="21">
        <f>AVERAGE(AP6:AP56)</f>
        <v>16.672999999999998</v>
      </c>
      <c r="AQ60" t="s">
        <v>117</v>
      </c>
    </row>
    <row r="61" spans="3:43" x14ac:dyDescent="0.25">
      <c r="AN61">
        <f>COUNT(AN6:AN57)</f>
        <v>10</v>
      </c>
      <c r="AO61" t="s">
        <v>119</v>
      </c>
      <c r="AP61">
        <f>COUNT(AP6:AP57)</f>
        <v>10</v>
      </c>
      <c r="AQ61" t="s">
        <v>119</v>
      </c>
    </row>
    <row r="89" spans="36:53" x14ac:dyDescent="0.25">
      <c r="AJ89" t="s">
        <v>100</v>
      </c>
    </row>
    <row r="90" spans="36:53" x14ac:dyDescent="0.25">
      <c r="AQ90" t="s">
        <v>96</v>
      </c>
      <c r="AR90" t="s">
        <v>98</v>
      </c>
    </row>
    <row r="91" spans="36:53" x14ac:dyDescent="0.25">
      <c r="AR91" t="s">
        <v>99</v>
      </c>
    </row>
    <row r="93" spans="36:53" x14ac:dyDescent="0.25">
      <c r="BA93" t="s">
        <v>101</v>
      </c>
    </row>
    <row r="94" spans="36:53" x14ac:dyDescent="0.25">
      <c r="AS94" t="s">
        <v>96</v>
      </c>
    </row>
    <row r="113" spans="34:38" x14ac:dyDescent="0.25">
      <c r="AI113" t="s">
        <v>108</v>
      </c>
    </row>
    <row r="114" spans="34:38" x14ac:dyDescent="0.25">
      <c r="AH114" t="s">
        <v>96</v>
      </c>
      <c r="AI114">
        <v>1023</v>
      </c>
      <c r="AJ114">
        <v>38.299999999999997</v>
      </c>
      <c r="AL114">
        <v>11.6</v>
      </c>
    </row>
    <row r="115" spans="34:38" x14ac:dyDescent="0.25">
      <c r="AH115" t="s">
        <v>95</v>
      </c>
      <c r="AI115">
        <v>1046</v>
      </c>
      <c r="AJ115">
        <v>23.2</v>
      </c>
      <c r="AK115">
        <v>4.6399999999999997</v>
      </c>
      <c r="AL115">
        <v>27.84</v>
      </c>
    </row>
    <row r="116" spans="34:38" x14ac:dyDescent="0.25">
      <c r="AH116" t="s">
        <v>97</v>
      </c>
      <c r="AI116">
        <v>1136</v>
      </c>
      <c r="AL116">
        <v>15.3</v>
      </c>
    </row>
    <row r="117" spans="34:38" x14ac:dyDescent="0.25">
      <c r="AH117" t="s">
        <v>96</v>
      </c>
      <c r="AI117">
        <v>1145</v>
      </c>
      <c r="AJ117">
        <v>27</v>
      </c>
      <c r="AL117">
        <v>9.15</v>
      </c>
    </row>
    <row r="118" spans="34:38" x14ac:dyDescent="0.25">
      <c r="AH118" t="s">
        <v>97</v>
      </c>
      <c r="AI118">
        <v>1154</v>
      </c>
      <c r="AJ118">
        <v>19.100000000000001</v>
      </c>
      <c r="AL118">
        <v>9.99</v>
      </c>
    </row>
    <row r="119" spans="34:38" x14ac:dyDescent="0.25">
      <c r="AH119" t="s">
        <v>96</v>
      </c>
      <c r="AI119">
        <v>1155</v>
      </c>
      <c r="AJ119">
        <v>44.6</v>
      </c>
      <c r="AL119">
        <v>14.6</v>
      </c>
    </row>
    <row r="120" spans="34:38" x14ac:dyDescent="0.25">
      <c r="AH120" t="s">
        <v>95</v>
      </c>
      <c r="AI120">
        <v>1261</v>
      </c>
      <c r="AJ120">
        <v>43.1</v>
      </c>
      <c r="AK120">
        <v>6.55</v>
      </c>
      <c r="AL120">
        <v>49.65</v>
      </c>
    </row>
    <row r="121" spans="34:38" x14ac:dyDescent="0.25">
      <c r="AH121" t="s">
        <v>97</v>
      </c>
      <c r="AI121">
        <v>1434</v>
      </c>
      <c r="AL121">
        <v>16</v>
      </c>
    </row>
    <row r="122" spans="34:38" x14ac:dyDescent="0.25">
      <c r="AH122" t="s">
        <v>96</v>
      </c>
      <c r="AI122">
        <v>1491</v>
      </c>
      <c r="AJ122">
        <v>21</v>
      </c>
      <c r="AL122">
        <v>5.18</v>
      </c>
    </row>
    <row r="123" spans="34:38" x14ac:dyDescent="0.25">
      <c r="AH123" t="s">
        <v>96</v>
      </c>
      <c r="AI123">
        <v>1614</v>
      </c>
      <c r="AJ123">
        <v>38.799999999999997</v>
      </c>
      <c r="AL123">
        <v>7.42</v>
      </c>
    </row>
    <row r="126" spans="34:38" x14ac:dyDescent="0.25">
      <c r="AL126" s="21">
        <f>AVERAGE(AL114:AL123)</f>
        <v>16.672999999999998</v>
      </c>
    </row>
    <row r="128" spans="34:38" x14ac:dyDescent="0.25">
      <c r="AI128" t="s">
        <v>109</v>
      </c>
    </row>
    <row r="130" spans="20:42" x14ac:dyDescent="0.25">
      <c r="T130" s="27"/>
      <c r="Y130" s="21"/>
      <c r="AH130" t="s">
        <v>96</v>
      </c>
      <c r="AI130">
        <v>1023</v>
      </c>
      <c r="AJ130">
        <v>38.299999999999997</v>
      </c>
      <c r="AK130">
        <v>11.6</v>
      </c>
      <c r="AL130">
        <f>AJ130+AK130</f>
        <v>49.9</v>
      </c>
    </row>
    <row r="131" spans="20:42" x14ac:dyDescent="0.25">
      <c r="Y131" s="21"/>
      <c r="AH131" t="s">
        <v>95</v>
      </c>
      <c r="AI131">
        <v>1046</v>
      </c>
      <c r="AJ131">
        <v>23.2</v>
      </c>
      <c r="AK131">
        <v>4.6399999999999997</v>
      </c>
      <c r="AL131">
        <f t="shared" ref="AL131:AL139" si="4">AJ131+AK131</f>
        <v>27.84</v>
      </c>
    </row>
    <row r="132" spans="20:42" x14ac:dyDescent="0.25">
      <c r="T132" s="27"/>
      <c r="Y132" s="21"/>
      <c r="AH132" t="s">
        <v>97</v>
      </c>
      <c r="AI132">
        <v>1136</v>
      </c>
      <c r="AJ132">
        <v>36.6</v>
      </c>
      <c r="AK132">
        <v>15.3</v>
      </c>
      <c r="AL132">
        <f t="shared" si="4"/>
        <v>51.900000000000006</v>
      </c>
    </row>
    <row r="133" spans="20:42" x14ac:dyDescent="0.25">
      <c r="T133" s="27"/>
      <c r="Y133" s="21"/>
      <c r="AH133" t="s">
        <v>96</v>
      </c>
      <c r="AI133">
        <v>1145</v>
      </c>
      <c r="AJ133">
        <v>27</v>
      </c>
      <c r="AK133">
        <v>9.15</v>
      </c>
      <c r="AL133">
        <f t="shared" si="4"/>
        <v>36.15</v>
      </c>
    </row>
    <row r="134" spans="20:42" x14ac:dyDescent="0.25">
      <c r="T134" s="27"/>
      <c r="Y134" s="21"/>
      <c r="AH134" t="s">
        <v>97</v>
      </c>
      <c r="AI134">
        <v>1154</v>
      </c>
      <c r="AJ134">
        <v>19.100000000000001</v>
      </c>
      <c r="AK134">
        <v>9.99</v>
      </c>
      <c r="AL134">
        <f t="shared" si="4"/>
        <v>29.090000000000003</v>
      </c>
    </row>
    <row r="135" spans="20:42" x14ac:dyDescent="0.25">
      <c r="T135" s="27"/>
      <c r="Y135" s="21"/>
      <c r="AH135" t="s">
        <v>96</v>
      </c>
      <c r="AI135">
        <v>1155</v>
      </c>
      <c r="AJ135">
        <v>44.6</v>
      </c>
      <c r="AK135">
        <v>14.6</v>
      </c>
      <c r="AL135">
        <f t="shared" si="4"/>
        <v>59.2</v>
      </c>
    </row>
    <row r="136" spans="20:42" x14ac:dyDescent="0.25">
      <c r="Y136" s="21"/>
      <c r="AH136" t="s">
        <v>95</v>
      </c>
      <c r="AI136">
        <v>1261</v>
      </c>
      <c r="AJ136">
        <v>43.1</v>
      </c>
      <c r="AK136">
        <v>6.55</v>
      </c>
      <c r="AL136">
        <f t="shared" si="4"/>
        <v>49.65</v>
      </c>
      <c r="AO136" t="s">
        <v>97</v>
      </c>
      <c r="AP136" t="s">
        <v>98</v>
      </c>
    </row>
    <row r="137" spans="20:42" x14ac:dyDescent="0.25">
      <c r="T137" s="27"/>
      <c r="Y137" s="21"/>
      <c r="AH137" t="s">
        <v>97</v>
      </c>
      <c r="AI137">
        <v>1434</v>
      </c>
      <c r="AJ137">
        <v>40.6</v>
      </c>
      <c r="AK137">
        <v>16</v>
      </c>
      <c r="AL137">
        <f t="shared" si="4"/>
        <v>56.6</v>
      </c>
      <c r="AP137" t="s">
        <v>99</v>
      </c>
    </row>
    <row r="138" spans="20:42" x14ac:dyDescent="0.25">
      <c r="T138" s="27"/>
      <c r="Y138" s="21"/>
      <c r="AH138" t="s">
        <v>96</v>
      </c>
      <c r="AI138">
        <v>1491</v>
      </c>
      <c r="AJ138">
        <v>21</v>
      </c>
      <c r="AK138">
        <v>5.18</v>
      </c>
      <c r="AL138">
        <f t="shared" si="4"/>
        <v>26.18</v>
      </c>
    </row>
    <row r="139" spans="20:42" x14ac:dyDescent="0.25">
      <c r="T139" s="27"/>
      <c r="Y139" s="21"/>
      <c r="AH139" t="s">
        <v>96</v>
      </c>
      <c r="AI139">
        <v>1614</v>
      </c>
      <c r="AJ139">
        <v>38.799999999999997</v>
      </c>
      <c r="AK139">
        <v>7.42</v>
      </c>
      <c r="AL139">
        <f t="shared" si="4"/>
        <v>46.22</v>
      </c>
    </row>
    <row r="140" spans="20:42" x14ac:dyDescent="0.25">
      <c r="Y140" s="21"/>
    </row>
    <row r="141" spans="20:42" x14ac:dyDescent="0.25">
      <c r="Y141" s="21"/>
    </row>
    <row r="142" spans="20:42" x14ac:dyDescent="0.25">
      <c r="Y142" s="21"/>
      <c r="AL142" s="21">
        <f>AVERAGE(AL130:AL139)</f>
        <v>43.273000000000003</v>
      </c>
    </row>
    <row r="143" spans="20:42" x14ac:dyDescent="0.25">
      <c r="Y143" s="21"/>
    </row>
    <row r="144" spans="20:42" x14ac:dyDescent="0.25">
      <c r="Y144" s="21"/>
    </row>
    <row r="145" spans="19:29" x14ac:dyDescent="0.25">
      <c r="Y145" s="21"/>
    </row>
    <row r="146" spans="19:29" x14ac:dyDescent="0.25">
      <c r="T146">
        <v>1550</v>
      </c>
      <c r="U146">
        <v>35.6</v>
      </c>
      <c r="W146">
        <v>12</v>
      </c>
      <c r="X146">
        <f>U146+W146</f>
        <v>47.6</v>
      </c>
      <c r="Y146" s="21">
        <f>X146/W146</f>
        <v>3.9666666666666668</v>
      </c>
    </row>
    <row r="147" spans="19:29" x14ac:dyDescent="0.25">
      <c r="S147">
        <v>1</v>
      </c>
      <c r="T147">
        <v>1030</v>
      </c>
      <c r="U147">
        <v>13.8</v>
      </c>
      <c r="W147">
        <v>4.9800000000000004</v>
      </c>
      <c r="X147">
        <f t="shared" ref="X147:X151" si="5">U147+W147</f>
        <v>18.78</v>
      </c>
      <c r="Y147" s="21">
        <f t="shared" ref="Y147:Y151" si="6">X147/W147</f>
        <v>3.7710843373493974</v>
      </c>
    </row>
    <row r="148" spans="19:29" x14ac:dyDescent="0.25">
      <c r="S148">
        <v>2</v>
      </c>
      <c r="T148">
        <v>1627</v>
      </c>
      <c r="U148">
        <v>17.7</v>
      </c>
      <c r="W148">
        <v>5.81</v>
      </c>
      <c r="X148">
        <f t="shared" si="5"/>
        <v>23.509999999999998</v>
      </c>
      <c r="Y148" s="21">
        <f t="shared" si="6"/>
        <v>4.0464716006884682</v>
      </c>
    </row>
    <row r="149" spans="19:29" x14ac:dyDescent="0.25">
      <c r="S149">
        <v>4</v>
      </c>
      <c r="T149">
        <v>1702</v>
      </c>
      <c r="U149">
        <v>9.5</v>
      </c>
      <c r="W149">
        <v>2.42</v>
      </c>
      <c r="X149">
        <f t="shared" si="5"/>
        <v>11.92</v>
      </c>
      <c r="Y149" s="21">
        <f t="shared" si="6"/>
        <v>4.9256198347107443</v>
      </c>
    </row>
    <row r="150" spans="19:29" x14ac:dyDescent="0.25">
      <c r="S150">
        <v>5</v>
      </c>
      <c r="T150">
        <v>1134</v>
      </c>
      <c r="U150">
        <v>19.600000000000001</v>
      </c>
      <c r="W150">
        <v>12.6</v>
      </c>
      <c r="X150">
        <f t="shared" si="5"/>
        <v>32.200000000000003</v>
      </c>
      <c r="Y150" s="21">
        <f t="shared" si="6"/>
        <v>2.5555555555555558</v>
      </c>
    </row>
    <row r="151" spans="19:29" x14ac:dyDescent="0.25">
      <c r="S151">
        <v>10</v>
      </c>
      <c r="T151">
        <v>1057</v>
      </c>
      <c r="U151">
        <v>55</v>
      </c>
      <c r="W151">
        <v>12.7</v>
      </c>
      <c r="X151">
        <f t="shared" si="5"/>
        <v>67.7</v>
      </c>
      <c r="Y151" s="21">
        <f t="shared" si="6"/>
        <v>5.3307086614173231</v>
      </c>
    </row>
    <row r="152" spans="19:29" x14ac:dyDescent="0.25">
      <c r="Y152" s="21"/>
    </row>
    <row r="153" spans="19:29" x14ac:dyDescent="0.25">
      <c r="U153">
        <f>AVERAGE(U130:U151)</f>
        <v>25.200000000000003</v>
      </c>
      <c r="W153" s="21">
        <f>AVERAGE(W130:W151)</f>
        <v>8.4183333333333348</v>
      </c>
      <c r="X153" s="21">
        <f>AVERAGE(X130:X151)</f>
        <v>33.618333333333332</v>
      </c>
      <c r="Y153" s="21"/>
    </row>
    <row r="154" spans="19:29" x14ac:dyDescent="0.25">
      <c r="W154" t="s">
        <v>115</v>
      </c>
      <c r="X154" t="s">
        <v>116</v>
      </c>
      <c r="Y154" s="21">
        <f>AVERAGE(Y130:Y151)</f>
        <v>4.0993511093980262</v>
      </c>
      <c r="Z154" t="s">
        <v>111</v>
      </c>
    </row>
    <row r="155" spans="19:29" x14ac:dyDescent="0.25">
      <c r="Y155" s="21">
        <f>MIN(Y130:Y151)</f>
        <v>2.5555555555555558</v>
      </c>
      <c r="Z155" t="s">
        <v>112</v>
      </c>
    </row>
    <row r="156" spans="19:29" x14ac:dyDescent="0.25">
      <c r="Y156" s="21">
        <f>MAX(Y130:Y151)</f>
        <v>5.3307086614173231</v>
      </c>
      <c r="Z156" t="s">
        <v>113</v>
      </c>
    </row>
    <row r="160" spans="19:29" x14ac:dyDescent="0.25">
      <c r="AC160" s="21"/>
    </row>
    <row r="176" spans="36:36" ht="28.5" x14ac:dyDescent="0.45">
      <c r="AJ176" s="26" t="s">
        <v>110</v>
      </c>
    </row>
    <row r="181" spans="31:42" x14ac:dyDescent="0.25">
      <c r="AH181" t="s">
        <v>94</v>
      </c>
      <c r="AI181" t="s">
        <v>94</v>
      </c>
      <c r="AJ181" t="s">
        <v>94</v>
      </c>
    </row>
    <row r="183" spans="31:42" x14ac:dyDescent="0.25">
      <c r="AH183" t="s">
        <v>18</v>
      </c>
      <c r="AI183" t="s">
        <v>19</v>
      </c>
      <c r="AJ183" t="s">
        <v>93</v>
      </c>
    </row>
    <row r="184" spans="31:42" x14ac:dyDescent="0.25">
      <c r="AE184">
        <v>1</v>
      </c>
      <c r="AF184" t="s">
        <v>0</v>
      </c>
      <c r="AH184">
        <v>6</v>
      </c>
      <c r="AI184">
        <v>6.3</v>
      </c>
      <c r="AJ184">
        <v>19.100000000000001</v>
      </c>
      <c r="AN184">
        <v>6</v>
      </c>
      <c r="AO184">
        <v>6.3</v>
      </c>
      <c r="AP184">
        <v>19.100000000000001</v>
      </c>
    </row>
    <row r="185" spans="31:42" x14ac:dyDescent="0.25">
      <c r="AE185">
        <v>1</v>
      </c>
      <c r="AF185" t="s">
        <v>1</v>
      </c>
      <c r="AH185">
        <v>5.9</v>
      </c>
      <c r="AI185">
        <v>4.8</v>
      </c>
      <c r="AJ185">
        <v>6.4</v>
      </c>
      <c r="AN185">
        <v>5.9</v>
      </c>
      <c r="AO185">
        <v>4.8</v>
      </c>
      <c r="AP185">
        <v>6.4</v>
      </c>
    </row>
    <row r="186" spans="31:42" x14ac:dyDescent="0.25">
      <c r="AE186">
        <v>0.1</v>
      </c>
      <c r="AF186" t="s">
        <v>2</v>
      </c>
      <c r="AH186">
        <v>3.6</v>
      </c>
      <c r="AI186">
        <v>2</v>
      </c>
      <c r="AJ186">
        <v>2</v>
      </c>
      <c r="AN186">
        <v>0.36000000000000004</v>
      </c>
      <c r="AO186">
        <v>0.2</v>
      </c>
      <c r="AP186">
        <v>0.2</v>
      </c>
    </row>
    <row r="187" spans="31:42" x14ac:dyDescent="0.25">
      <c r="AE187">
        <v>0.1</v>
      </c>
      <c r="AF187" t="s">
        <v>3</v>
      </c>
      <c r="AH187">
        <v>16.8</v>
      </c>
      <c r="AI187">
        <v>13.8</v>
      </c>
      <c r="AJ187">
        <v>15.9</v>
      </c>
      <c r="AN187">
        <v>1.6800000000000002</v>
      </c>
      <c r="AO187">
        <v>1.3800000000000001</v>
      </c>
      <c r="AP187">
        <v>1.59</v>
      </c>
    </row>
    <row r="188" spans="31:42" x14ac:dyDescent="0.25">
      <c r="AE188">
        <v>0.1</v>
      </c>
      <c r="AF188" t="s">
        <v>4</v>
      </c>
      <c r="AH188">
        <v>3.6</v>
      </c>
      <c r="AI188">
        <v>2.7</v>
      </c>
      <c r="AJ188">
        <v>3</v>
      </c>
      <c r="AN188">
        <v>0.36000000000000004</v>
      </c>
      <c r="AO188">
        <v>0.27</v>
      </c>
      <c r="AP188">
        <v>0.30000000000000004</v>
      </c>
    </row>
    <row r="189" spans="31:42" x14ac:dyDescent="0.25">
      <c r="AE189">
        <v>0.01</v>
      </c>
      <c r="AF189" t="s">
        <v>5</v>
      </c>
      <c r="AH189">
        <v>28</v>
      </c>
      <c r="AI189">
        <v>22</v>
      </c>
      <c r="AJ189">
        <v>22.3</v>
      </c>
      <c r="AN189">
        <v>0.28000000000000003</v>
      </c>
      <c r="AO189">
        <v>0.22</v>
      </c>
      <c r="AP189">
        <v>0.223</v>
      </c>
    </row>
    <row r="190" spans="31:42" x14ac:dyDescent="0.25">
      <c r="AE190">
        <v>2.9999999999999997E-4</v>
      </c>
      <c r="AF190" t="s">
        <v>6</v>
      </c>
      <c r="AH190">
        <v>264.2</v>
      </c>
      <c r="AI190">
        <v>192.7</v>
      </c>
      <c r="AJ190">
        <v>225.4</v>
      </c>
      <c r="AN190">
        <v>7.9259999999999983E-2</v>
      </c>
      <c r="AO190">
        <v>5.7809999999999993E-2</v>
      </c>
      <c r="AP190">
        <v>6.762E-2</v>
      </c>
    </row>
    <row r="191" spans="31:42" x14ac:dyDescent="0.25">
      <c r="AE191">
        <v>0.1</v>
      </c>
      <c r="AF191" t="s">
        <v>7</v>
      </c>
      <c r="AH191">
        <v>0.9</v>
      </c>
      <c r="AI191">
        <v>0.8</v>
      </c>
      <c r="AJ191">
        <v>0.9</v>
      </c>
      <c r="AN191">
        <v>9.0000000000000011E-2</v>
      </c>
      <c r="AO191">
        <v>8.0000000000000016E-2</v>
      </c>
      <c r="AP191">
        <v>9.0000000000000011E-2</v>
      </c>
    </row>
    <row r="192" spans="31:42" x14ac:dyDescent="0.25">
      <c r="AE192">
        <v>0.03</v>
      </c>
      <c r="AF192" t="s">
        <v>8</v>
      </c>
      <c r="AH192">
        <v>0.4</v>
      </c>
      <c r="AI192">
        <v>0.4</v>
      </c>
      <c r="AJ192">
        <v>0.4</v>
      </c>
      <c r="AN192">
        <v>1.2E-2</v>
      </c>
      <c r="AO192">
        <v>1.2E-2</v>
      </c>
      <c r="AP192">
        <v>1.2E-2</v>
      </c>
    </row>
    <row r="193" spans="31:42" x14ac:dyDescent="0.25">
      <c r="AE193">
        <v>0.3</v>
      </c>
      <c r="AF193" t="s">
        <v>9</v>
      </c>
      <c r="AH193">
        <v>4.5999999999999996</v>
      </c>
      <c r="AI193">
        <v>4.0999999999999996</v>
      </c>
      <c r="AJ193">
        <v>4.5</v>
      </c>
      <c r="AN193">
        <v>1.38</v>
      </c>
      <c r="AO193">
        <v>1.2299999999999998</v>
      </c>
      <c r="AP193">
        <v>1.3499999999999999</v>
      </c>
    </row>
    <row r="194" spans="31:42" x14ac:dyDescent="0.25">
      <c r="AE194">
        <v>0.1</v>
      </c>
      <c r="AF194" t="s">
        <v>10</v>
      </c>
      <c r="AH194">
        <v>1.9</v>
      </c>
      <c r="AI194">
        <v>1.9</v>
      </c>
      <c r="AJ194">
        <v>1.9</v>
      </c>
      <c r="AN194">
        <v>0.19</v>
      </c>
      <c r="AO194">
        <v>0.19</v>
      </c>
      <c r="AP194">
        <v>0.19</v>
      </c>
    </row>
    <row r="195" spans="31:42" x14ac:dyDescent="0.25">
      <c r="AE195">
        <v>0.1</v>
      </c>
      <c r="AF195" t="s">
        <v>11</v>
      </c>
      <c r="AH195">
        <v>2.2000000000000002</v>
      </c>
      <c r="AI195">
        <v>2.2000000000000002</v>
      </c>
      <c r="AJ195">
        <v>2.5</v>
      </c>
      <c r="AN195">
        <v>0.22000000000000003</v>
      </c>
      <c r="AO195">
        <v>0.22000000000000003</v>
      </c>
      <c r="AP195">
        <v>0.25</v>
      </c>
    </row>
    <row r="196" spans="31:42" x14ac:dyDescent="0.25">
      <c r="AE196">
        <v>0.1</v>
      </c>
      <c r="AF196" t="s">
        <v>12</v>
      </c>
      <c r="AH196">
        <v>0.6</v>
      </c>
      <c r="AI196">
        <v>0.7</v>
      </c>
      <c r="AJ196">
        <v>0.7</v>
      </c>
      <c r="AN196">
        <v>0.06</v>
      </c>
      <c r="AO196">
        <v>6.9999999999999993E-2</v>
      </c>
      <c r="AP196">
        <v>6.9999999999999993E-2</v>
      </c>
    </row>
    <row r="197" spans="31:42" x14ac:dyDescent="0.25">
      <c r="AE197">
        <v>0.1</v>
      </c>
      <c r="AF197" t="s">
        <v>13</v>
      </c>
      <c r="AH197">
        <v>0.9</v>
      </c>
      <c r="AI197">
        <v>0.9</v>
      </c>
      <c r="AJ197">
        <v>0.9</v>
      </c>
      <c r="AN197">
        <v>9.0000000000000011E-2</v>
      </c>
      <c r="AO197">
        <v>9.0000000000000011E-2</v>
      </c>
      <c r="AP197">
        <v>9.0000000000000011E-2</v>
      </c>
    </row>
    <row r="198" spans="31:42" x14ac:dyDescent="0.25">
      <c r="AE198">
        <v>0.01</v>
      </c>
      <c r="AF198" t="s">
        <v>14</v>
      </c>
      <c r="AH198">
        <v>4.4000000000000004</v>
      </c>
      <c r="AI198">
        <v>7.8</v>
      </c>
      <c r="AJ198">
        <v>6.1</v>
      </c>
      <c r="AN198">
        <v>4.4000000000000004E-2</v>
      </c>
      <c r="AO198">
        <v>7.8E-2</v>
      </c>
      <c r="AP198">
        <v>6.0999999999999999E-2</v>
      </c>
    </row>
    <row r="199" spans="31:42" x14ac:dyDescent="0.25">
      <c r="AE199">
        <v>0.01</v>
      </c>
      <c r="AF199" t="s">
        <v>15</v>
      </c>
      <c r="AH199">
        <v>1.1000000000000001</v>
      </c>
      <c r="AI199">
        <v>1</v>
      </c>
      <c r="AJ199">
        <v>1.1000000000000001</v>
      </c>
      <c r="AN199">
        <v>1.1000000000000001E-2</v>
      </c>
      <c r="AO199">
        <v>0.01</v>
      </c>
      <c r="AP199">
        <v>1.1000000000000001E-2</v>
      </c>
    </row>
    <row r="200" spans="31:42" x14ac:dyDescent="0.25">
      <c r="AE200">
        <v>2.9999999999999997E-4</v>
      </c>
      <c r="AF200" t="s">
        <v>16</v>
      </c>
      <c r="AH200">
        <v>2.9</v>
      </c>
      <c r="AI200">
        <v>2.5</v>
      </c>
      <c r="AJ200">
        <v>4</v>
      </c>
      <c r="AN200">
        <v>8.699999999999999E-4</v>
      </c>
      <c r="AO200">
        <v>7.4999999999999991E-4</v>
      </c>
      <c r="AP200">
        <v>1.1999999999999999E-3</v>
      </c>
    </row>
    <row r="206" spans="31:42" x14ac:dyDescent="0.25">
      <c r="AE206">
        <v>1E-4</v>
      </c>
      <c r="AF206">
        <v>77</v>
      </c>
      <c r="AH206">
        <v>26</v>
      </c>
      <c r="AI206">
        <v>23</v>
      </c>
      <c r="AJ206">
        <v>30</v>
      </c>
      <c r="AN206">
        <v>2.6000000000000003E-3</v>
      </c>
      <c r="AO206">
        <v>2.3E-3</v>
      </c>
      <c r="AP206">
        <v>3.0000000000000001E-3</v>
      </c>
    </row>
    <row r="207" spans="31:42" x14ac:dyDescent="0.25">
      <c r="AE207">
        <v>1E-4</v>
      </c>
      <c r="AF207">
        <v>81</v>
      </c>
      <c r="AH207">
        <v>14</v>
      </c>
      <c r="AI207">
        <v>13</v>
      </c>
      <c r="AJ207">
        <v>14</v>
      </c>
      <c r="AN207">
        <v>1.4E-3</v>
      </c>
      <c r="AO207">
        <v>1.3000000000000002E-3</v>
      </c>
      <c r="AP207">
        <v>1.4E-3</v>
      </c>
    </row>
    <row r="208" spans="31:42" x14ac:dyDescent="0.25">
      <c r="AE208">
        <v>1E-4</v>
      </c>
      <c r="AF208">
        <v>105</v>
      </c>
      <c r="AH208">
        <v>865</v>
      </c>
      <c r="AI208">
        <v>751</v>
      </c>
      <c r="AJ208">
        <v>774</v>
      </c>
      <c r="AN208">
        <v>8.6500000000000007E-2</v>
      </c>
      <c r="AO208">
        <v>7.51E-2</v>
      </c>
      <c r="AP208">
        <v>7.740000000000001E-2</v>
      </c>
    </row>
    <row r="209" spans="31:42" x14ac:dyDescent="0.25">
      <c r="AE209">
        <v>5.0000000000000001E-4</v>
      </c>
      <c r="AF209">
        <v>114</v>
      </c>
      <c r="AH209">
        <v>296</v>
      </c>
      <c r="AI209">
        <v>235</v>
      </c>
      <c r="AJ209">
        <v>255</v>
      </c>
      <c r="AN209">
        <v>0.14799999999999999</v>
      </c>
      <c r="AO209">
        <v>0.11750000000000001</v>
      </c>
      <c r="AP209">
        <v>0.1275</v>
      </c>
    </row>
    <row r="210" spans="31:42" x14ac:dyDescent="0.25">
      <c r="AE210">
        <v>1E-4</v>
      </c>
      <c r="AF210">
        <v>118</v>
      </c>
      <c r="AH210">
        <v>4393</v>
      </c>
      <c r="AI210">
        <v>3474</v>
      </c>
      <c r="AJ210">
        <v>3822</v>
      </c>
      <c r="AN210">
        <v>0.43930000000000002</v>
      </c>
      <c r="AO210">
        <v>0.34740000000000004</v>
      </c>
      <c r="AP210">
        <v>0.38220000000000004</v>
      </c>
    </row>
    <row r="211" spans="31:42" x14ac:dyDescent="0.25">
      <c r="AE211">
        <v>1E-4</v>
      </c>
      <c r="AF211">
        <v>123</v>
      </c>
      <c r="AH211">
        <v>43</v>
      </c>
      <c r="AI211">
        <v>43</v>
      </c>
      <c r="AJ211">
        <v>40</v>
      </c>
      <c r="AN211">
        <v>4.3E-3</v>
      </c>
      <c r="AO211">
        <v>4.3E-3</v>
      </c>
      <c r="AP211">
        <v>4.0000000000000001E-3</v>
      </c>
    </row>
    <row r="212" spans="31:42" x14ac:dyDescent="0.25">
      <c r="AE212">
        <v>0.1</v>
      </c>
      <c r="AF212">
        <v>126</v>
      </c>
      <c r="AH212">
        <v>27</v>
      </c>
      <c r="AI212">
        <v>26</v>
      </c>
      <c r="AJ212">
        <v>25</v>
      </c>
      <c r="AN212">
        <v>2.7</v>
      </c>
      <c r="AO212">
        <v>2.6</v>
      </c>
      <c r="AP212">
        <v>2.5</v>
      </c>
    </row>
    <row r="213" spans="31:42" x14ac:dyDescent="0.25">
      <c r="AE213">
        <v>5.0000000000000001E-4</v>
      </c>
      <c r="AF213" t="s">
        <v>17</v>
      </c>
      <c r="AH213">
        <v>4903</v>
      </c>
      <c r="AI213">
        <v>4792</v>
      </c>
      <c r="AJ213">
        <v>5508</v>
      </c>
      <c r="AN213">
        <v>2.4515000000000002</v>
      </c>
      <c r="AO213">
        <v>2.3959999999999999</v>
      </c>
      <c r="AP213">
        <v>2.754</v>
      </c>
    </row>
    <row r="214" spans="31:42" x14ac:dyDescent="0.25">
      <c r="AE214">
        <v>1.0000000000000001E-5</v>
      </c>
      <c r="AF214">
        <v>167</v>
      </c>
      <c r="AH214">
        <v>1133</v>
      </c>
      <c r="AI214">
        <v>960</v>
      </c>
      <c r="AJ214">
        <v>1061</v>
      </c>
      <c r="AN214">
        <v>1.1330000000000002E-2</v>
      </c>
      <c r="AO214">
        <v>9.6000000000000009E-3</v>
      </c>
      <c r="AP214">
        <v>1.0610000000000001E-2</v>
      </c>
    </row>
    <row r="215" spans="31:42" x14ac:dyDescent="0.25">
      <c r="AE215">
        <v>0.01</v>
      </c>
      <c r="AF215">
        <v>169</v>
      </c>
      <c r="AH215">
        <v>26</v>
      </c>
      <c r="AI215">
        <v>28</v>
      </c>
      <c r="AJ215">
        <v>27</v>
      </c>
      <c r="AN215">
        <v>0.26</v>
      </c>
      <c r="AO215">
        <v>0.28000000000000003</v>
      </c>
      <c r="AP215">
        <v>0.27</v>
      </c>
    </row>
    <row r="216" spans="31:42" x14ac:dyDescent="0.25">
      <c r="AE216">
        <v>1E-4</v>
      </c>
      <c r="AF216">
        <v>189</v>
      </c>
      <c r="AH216">
        <v>487</v>
      </c>
      <c r="AI216">
        <v>588</v>
      </c>
      <c r="AJ216">
        <v>645</v>
      </c>
      <c r="AN216">
        <v>4.87E-2</v>
      </c>
      <c r="AO216">
        <v>5.8800000000000005E-2</v>
      </c>
      <c r="AP216">
        <v>6.4500000000000002E-2</v>
      </c>
    </row>
    <row r="219" spans="31:42" x14ac:dyDescent="0.25">
      <c r="AN219">
        <v>22.91076</v>
      </c>
      <c r="AO219">
        <v>21.100860000000004</v>
      </c>
      <c r="AP219">
        <v>36.200430000000011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588F-FFFD-4BB6-A7E6-74874E2CE490}">
  <dimension ref="E27:P48"/>
  <sheetViews>
    <sheetView topLeftCell="A34" zoomScale="120" zoomScaleNormal="120" workbookViewId="0">
      <selection activeCell="N39" sqref="N39"/>
    </sheetView>
  </sheetViews>
  <sheetFormatPr defaultRowHeight="15" x14ac:dyDescent="0.25"/>
  <sheetData>
    <row r="27" spans="5:5" x14ac:dyDescent="0.25">
      <c r="E27" t="s">
        <v>105</v>
      </c>
    </row>
    <row r="28" spans="5:5" x14ac:dyDescent="0.25">
      <c r="E28" t="s">
        <v>106</v>
      </c>
    </row>
    <row r="29" spans="5:5" x14ac:dyDescent="0.25">
      <c r="E29" t="s">
        <v>107</v>
      </c>
    </row>
    <row r="47" spans="5:16" x14ac:dyDescent="0.25">
      <c r="E47" t="s">
        <v>102</v>
      </c>
      <c r="P47" t="s">
        <v>103</v>
      </c>
    </row>
    <row r="48" spans="5:16" x14ac:dyDescent="0.25">
      <c r="P48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TEQ in Appendix O and correct</vt:lpstr>
      <vt:lpstr>Appendix 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2025-02-25T23:03:50Z</dcterms:created>
  <dcterms:modified xsi:type="dcterms:W3CDTF">2025-03-14T03:14:12Z</dcterms:modified>
</cp:coreProperties>
</file>